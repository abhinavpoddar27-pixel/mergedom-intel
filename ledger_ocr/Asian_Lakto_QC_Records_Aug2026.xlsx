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amp; Checks" sheetId="1" state="visible" r:id="rId1"/>
    <sheet name="CSD 17-08-2026" sheetId="2" state="visible" r:id="rId2"/>
    <sheet name="CSD 19-08-2026" sheetId="3" state="visible" r:id="rId3"/>
    <sheet name="CSD 20-08-2026" sheetId="4" state="visible" r:id="rId4"/>
    <sheet name="Torque 17-08-2026" sheetId="5" state="visible" r:id="rId5"/>
    <sheet name="Torque 20-08-2026" sheetId="6" state="visible" r:id="rId6"/>
  </sheets>
  <definedNames>
    <definedName name="SPEC_LOW">'Index &amp; Checks'!$B$5</definedName>
    <definedName name="SPEC_HIGH">'Index &amp; Checks'!$B$6</definedName>
    <definedName name="_xlnm.Print_Titles" localSheetId="1">'CSD 17-08-2026'!$9:$10</definedName>
    <definedName name="_xlnm.Print_Titles" localSheetId="2">'CSD 19-08-2026'!$9:$10</definedName>
    <definedName name="_xlnm.Print_Titles" localSheetId="3">'CSD 20-08-2026'!$9:$10</definedName>
    <definedName name="_xlnm.Print_Titles" localSheetId="4">'Torque 17-08-2026'!$10:$10</definedName>
    <definedName name="_xlnm.Print_Titles" localSheetId="5">'Torque 20-08-2026'!$10:$10</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Calibri"/>
      <b val="1"/>
      <color rgb="00FFFFFF"/>
      <sz val="15"/>
    </font>
    <font>
      <name val="Calibri"/>
      <b val="1"/>
      <color rgb="00FFFFFF"/>
      <sz val="11"/>
    </font>
    <font>
      <name val="Calibri"/>
      <b val="1"/>
      <sz val="10"/>
    </font>
    <font>
      <name val="Calibri"/>
      <sz val="10"/>
    </font>
    <font>
      <name val="Calibri"/>
      <i val="1"/>
      <color rgb="00444444"/>
      <sz val="9"/>
    </font>
    <font>
      <name val="Calibri"/>
      <b val="1"/>
      <color rgb="00FFFFFF"/>
      <sz val="10"/>
    </font>
    <font>
      <name val="Calibri"/>
      <b val="1"/>
      <color rgb="009C0006"/>
      <sz val="10"/>
    </font>
    <font>
      <name val="Calibri"/>
      <b val="1"/>
      <color rgb="001F3864"/>
      <sz val="11"/>
    </font>
  </fonts>
  <fills count="9">
    <fill>
      <patternFill/>
    </fill>
    <fill>
      <patternFill patternType="gray125"/>
    </fill>
    <fill>
      <patternFill patternType="solid">
        <fgColor rgb="001F3864"/>
      </patternFill>
    </fill>
    <fill>
      <patternFill patternType="solid">
        <fgColor rgb="002E5496"/>
      </patternFill>
    </fill>
    <fill>
      <patternFill patternType="solid">
        <fgColor rgb="00EDEDED"/>
      </patternFill>
    </fill>
    <fill>
      <patternFill patternType="solid">
        <fgColor rgb="004472C4"/>
      </patternFill>
    </fill>
    <fill>
      <patternFill patternType="solid">
        <fgColor rgb="00D9E2F3"/>
      </patternFill>
    </fill>
    <fill>
      <patternFill patternType="solid">
        <fgColor rgb="00FFF2CC"/>
      </patternFill>
    </fill>
    <fill>
      <patternFill patternType="solid">
        <fgColor rgb="00E2EFDA"/>
      </patternFill>
    </fill>
  </fills>
  <borders count="6">
    <border>
      <left/>
      <right/>
      <top/>
      <bottom/>
      <diagonal/>
    </border>
    <border>
      <left style="thin">
        <color rgb="009BA5B4"/>
      </left>
      <right style="thin">
        <color rgb="009BA5B4"/>
      </right>
      <top style="thin">
        <color rgb="009BA5B4"/>
      </top>
      <bottom style="thin">
        <color rgb="009BA5B4"/>
      </bottom>
    </border>
    <border>
      <left/>
      <right/>
      <top style="thin">
        <color rgb="009BA5B4"/>
      </top>
      <bottom/>
      <diagonal/>
    </border>
    <border>
      <left/>
      <right style="thin">
        <color rgb="009BA5B4"/>
      </right>
      <top style="thin">
        <color rgb="009BA5B4"/>
      </top>
      <bottom/>
      <diagonal/>
    </border>
    <border>
      <left/>
      <right/>
      <top style="thin">
        <color rgb="009BA5B4"/>
      </top>
      <bottom style="thin">
        <color rgb="009BA5B4"/>
      </bottom>
      <diagonal/>
    </border>
    <border>
      <left/>
      <right style="thin">
        <color rgb="009BA5B4"/>
      </right>
      <top style="thin">
        <color rgb="009BA5B4"/>
      </top>
      <bottom style="thin">
        <color rgb="009BA5B4"/>
      </bottom>
      <diagonal/>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3" borderId="0" applyAlignment="1" pivotButton="0" quotePrefix="0" xfId="0">
      <alignment horizontal="center" vertical="center" wrapText="1"/>
    </xf>
    <xf numFmtId="0" fontId="0" fillId="3" borderId="0" pivotButton="0" quotePrefix="0" xfId="0"/>
    <xf numFmtId="0" fontId="8" fillId="0" borderId="0" applyAlignment="1" pivotButton="0" quotePrefix="0" xfId="0">
      <alignment horizontal="left" vertical="center"/>
    </xf>
    <xf numFmtId="0" fontId="3" fillId="4" borderId="1" applyAlignment="1" pivotButton="0" quotePrefix="0" xfId="0">
      <alignment horizontal="left" vertical="center"/>
    </xf>
    <xf numFmtId="164" fontId="3" fillId="7" borderId="1" applyAlignment="1" pivotButton="0" quotePrefix="0" xfId="0">
      <alignment horizontal="center" vertical="center" wrapText="1"/>
    </xf>
    <xf numFmtId="0" fontId="5" fillId="0" borderId="1" applyAlignment="1" pivotButton="0" quotePrefix="0" xfId="0">
      <alignment horizontal="left" vertical="top" wrapText="1"/>
    </xf>
    <xf numFmtId="0" fontId="6" fillId="5"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4" fillId="0" borderId="1" applyAlignment="1" pivotButton="0" quotePrefix="0" xfId="0">
      <alignment horizontal="center" vertical="center" wrapText="1"/>
    </xf>
    <xf numFmtId="0" fontId="0" fillId="0" borderId="1" pivotButton="0" quotePrefix="0" xfId="0"/>
    <xf numFmtId="0" fontId="3" fillId="8"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4" borderId="1" pivotButton="0" quotePrefix="0" xfId="0"/>
    <xf numFmtId="0" fontId="5" fillId="0" borderId="1" applyAlignment="1" pivotButton="0" quotePrefix="0" xfId="0">
      <alignment horizontal="left" vertical="center"/>
    </xf>
    <xf numFmtId="0" fontId="5" fillId="6" borderId="1" applyAlignment="1" pivotButton="0" quotePrefix="0" xfId="0">
      <alignment horizontal="right" vertical="center"/>
    </xf>
    <xf numFmtId="0" fontId="5" fillId="6" borderId="1" applyAlignment="1" pivotButton="0" quotePrefix="0" xfId="0">
      <alignment horizontal="center" vertical="center" wrapText="1"/>
    </xf>
    <xf numFmtId="0" fontId="4" fillId="0" borderId="1" applyAlignment="1" pivotButton="0" quotePrefix="0" xfId="0">
      <alignment horizontal="right" vertical="center"/>
    </xf>
    <xf numFmtId="0" fontId="3" fillId="0" borderId="1" applyAlignment="1" pivotButton="0" quotePrefix="0" xfId="0">
      <alignment horizontal="right" vertical="center"/>
    </xf>
    <xf numFmtId="2" fontId="3" fillId="0" borderId="1" applyAlignment="1" pivotButton="0" quotePrefix="0" xfId="0">
      <alignment horizontal="right" vertical="center"/>
    </xf>
    <xf numFmtId="0" fontId="3" fillId="6" borderId="1" applyAlignment="1" pivotButton="0" quotePrefix="0" xfId="0">
      <alignment horizontal="left" vertical="center"/>
    </xf>
    <xf numFmtId="0" fontId="5" fillId="6" borderId="1" applyAlignment="1" pivotButton="0" quotePrefix="0" xfId="0">
      <alignment horizontal="left" vertical="top" wrapText="1"/>
    </xf>
    <xf numFmtId="0" fontId="4" fillId="6" borderId="1" applyAlignment="1" pivotButton="0" quotePrefix="0" xfId="0">
      <alignment horizontal="right" vertical="center"/>
    </xf>
    <xf numFmtId="0" fontId="3" fillId="6" borderId="1" applyAlignment="1" pivotButton="0" quotePrefix="0" xfId="0">
      <alignment horizontal="right" vertical="center"/>
    </xf>
    <xf numFmtId="0" fontId="4" fillId="6" borderId="1" applyAlignment="1" pivotButton="0" quotePrefix="0" xfId="0">
      <alignment horizontal="center" vertical="center" wrapText="1"/>
    </xf>
    <xf numFmtId="2" fontId="3" fillId="6" borderId="1" applyAlignment="1" pivotButton="0" quotePrefix="0" xfId="0">
      <alignment horizontal="right" vertical="center"/>
    </xf>
    <xf numFmtId="0" fontId="7" fillId="6" borderId="1" applyAlignment="1" pivotButton="0" quotePrefix="0" xfId="0">
      <alignment horizontal="right" vertical="center"/>
    </xf>
    <xf numFmtId="0" fontId="3" fillId="7" borderId="1" applyAlignment="1" pivotButton="0" quotePrefix="0" xfId="0">
      <alignment horizontal="left" vertical="center"/>
    </xf>
    <xf numFmtId="0" fontId="5" fillId="7" borderId="1" applyAlignment="1" pivotButton="0" quotePrefix="0" xfId="0">
      <alignment horizontal="left" vertical="center"/>
    </xf>
    <xf numFmtId="0" fontId="3" fillId="7" borderId="1" applyAlignment="1" pivotButton="0" quotePrefix="0" xfId="0">
      <alignment horizontal="center" vertical="center" wrapText="1"/>
    </xf>
    <xf numFmtId="0" fontId="3" fillId="7" borderId="1" applyAlignment="1" pivotButton="0" quotePrefix="0" xfId="0">
      <alignment horizontal="right" vertical="center"/>
    </xf>
    <xf numFmtId="0" fontId="6" fillId="5" borderId="1" applyAlignment="1" pivotButton="0" quotePrefix="0" xfId="0">
      <alignment horizontal="left" vertical="center"/>
    </xf>
    <xf numFmtId="0" fontId="0" fillId="5" borderId="0" pivotButton="0" quotePrefix="0" xfId="0"/>
    <xf numFmtId="0" fontId="3" fillId="4" borderId="1" applyAlignment="1" pivotButton="0" quotePrefix="0" xfId="0">
      <alignment horizontal="left" vertical="top" wrapText="1"/>
    </xf>
    <xf numFmtId="0" fontId="5" fillId="4" borderId="0" applyAlignment="1" pivotButton="0" quotePrefix="0" xfId="0">
      <alignment horizontal="center" vertical="center" wrapText="1"/>
    </xf>
    <xf numFmtId="0" fontId="0" fillId="4" borderId="0" pivotButton="0" quotePrefix="0" xfId="0"/>
    <xf numFmtId="0" fontId="6"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4" borderId="1" applyAlignment="1" pivotButton="0" quotePrefix="0" xfId="0">
      <alignment horizontal="left" vertical="center"/>
    </xf>
    <xf numFmtId="0" fontId="4" fillId="4" borderId="1" applyAlignment="1" pivotButton="0" quotePrefix="0" xfId="0">
      <alignment horizontal="center" vertical="center" wrapText="1"/>
    </xf>
    <xf numFmtId="0" fontId="4" fillId="4" borderId="1" applyAlignment="1" pivotButton="0" quotePrefix="0" xfId="0">
      <alignment horizontal="left" vertical="top" wrapText="1"/>
    </xf>
    <xf numFmtId="0" fontId="3" fillId="0" borderId="1" applyAlignment="1" pivotButton="0" quotePrefix="0" xfId="0">
      <alignment horizontal="center" vertical="center" wrapText="1"/>
    </xf>
    <xf numFmtId="0" fontId="7" fillId="0" borderId="1" applyAlignment="1" pivotButton="0" quotePrefix="0" xfId="0">
      <alignment horizontal="right" vertical="center"/>
    </xf>
    <xf numFmtId="0" fontId="7" fillId="0"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6" borderId="1" applyAlignment="1" pivotButton="0" quotePrefix="0" xfId="0">
      <alignment horizontal="left" vertical="center"/>
    </xf>
    <xf numFmtId="2" fontId="3" fillId="7" borderId="1" applyAlignment="1" pivotButton="0" quotePrefix="0" xfId="0">
      <alignment horizontal="center" vertical="center" wrapText="1"/>
    </xf>
  </cellXfs>
  <cellStyles count="1">
    <cellStyle name="Normal" xfId="0" builtinId="0" hidden="0"/>
  </cellStyles>
  <dxfs count="3">
    <dxf>
      <font>
        <name val="Calibri"/>
        <b val="1"/>
        <color rgb="009C0006"/>
        <sz val="10"/>
      </font>
      <fill>
        <patternFill patternType="solid">
          <fgColor rgb="00FFE699"/>
        </patternFill>
      </fill>
    </dxf>
    <dxf>
      <font>
        <name val="Calibri"/>
        <b val="1"/>
        <color rgb="009C0006"/>
        <sz val="10"/>
      </font>
      <fill>
        <patternFill patternType="solid">
          <fgColor rgb="00FFC7CE"/>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Transcription QA</author>
  </authors>
  <commentList>
    <comment ref="P14" authorId="0" shapeId="0">
      <text>
        <t>SOURCE ANOMALY - 12.8 C against 12.2 C at 02:00.
The only :00/:30 pair on this sheet whose two halves differ. Both digits are clearly legible; reproduced as printed rather than harmonised. Worth a check against the original.</t>
      </text>
    </comment>
  </commentList>
</comments>
</file>

<file path=xl/comments/comment2.xml><?xml version="1.0" encoding="utf-8"?>
<comments xmlns="http://schemas.openxmlformats.org/spreadsheetml/2006/main">
  <authors>
    <author>Transcription QA</author>
  </authors>
  <commentList>
    <comment ref="K14" authorId="0" shapeId="0">
      <text>
        <t>PARTIALLY OBSCURED - 14.2 C.
The 'Filler stop due to outfeed knife setting &amp; welding work' annotation is written across this cell and crosses the digits. The reading is supported by 12:30, which reads 14.2 clearly.</t>
      </text>
    </comment>
  </commentList>
</comments>
</file>

<file path=xl/comments/comment3.xml><?xml version="1.0" encoding="utf-8"?>
<comments xmlns="http://schemas.openxmlformats.org/spreadsheetml/2006/main">
  <authors>
    <author>Transcription QA</author>
  </authors>
  <commentList>
    <comment ref="K14" authorId="0" shapeId="0">
      <text>
        <t>AMBIGUITY / SOURCE ANOMALY - 6.1 C.
Digits are legible, but this breaks the :00/:30 pairing used everywhere else on the sheet (12:30 reads 10.1) and sits well below every other temperature logged that day (7.4-13.1). Transcribed exactly as written. Recommend verifying against the original paper record.</t>
      </text>
    </comment>
  </commentList>
</comments>
</file>

<file path=xl/comments/comment4.xml><?xml version="1.0" encoding="utf-8"?>
<comments xmlns="http://schemas.openxmlformats.org/spreadsheetml/2006/main">
  <authors>
    <author>Transcription QA</author>
  </authors>
  <commentList>
    <comment ref="L13" authorId="0" shapeId="0">
      <text>
        <t>AMBIGUOUS DIGIT - read as 6.0. The leading digit is written over itself; 6 is the better-supported reading (a 0 is also conceivable). It is ringed as rejected either way and re-tested at 10.8.</t>
      </text>
    </comment>
    <comment ref="P13" authorId="0" shapeId="0">
      <text>
        <t>NON-NUMERIC ENTRY - the chemist wrote 'No open', with 'open' written above the cell. A re-test of 16.0 lb-in was recorded.</t>
      </text>
    </comment>
    <comment ref="O15" authorId="0" shapeId="0">
      <text>
        <t>PARTIALLY OVERLAPPED - read as 25.1. The final digit sits on the cell boundary and is crossed by the ring drawn around the neighbouring head-14 reading.</t>
      </text>
    </comment>
  </commentList>
</comments>
</file>

<file path=xl/comments/comment5.xml><?xml version="1.0" encoding="utf-8"?>
<comments xmlns="http://schemas.openxmlformats.org/spreadsheetml/2006/main">
  <authors>
    <author>Transcription QA</author>
  </authors>
  <commentList>
    <comment ref="H13" authorId="0" shapeId="0">
      <text>
        <t>SOURCE GAP - 7.9 lb-in is ringed as rejected, but unlike every other ringed reading on either sheet no re-test value was written underneath. The form leaves this head's outcome unrecorded.</t>
      </text>
    </comment>
    <comment ref="I13" authorId="0" shapeId="0">
      <text>
        <t>NON-NUMERIC ENTRY - the chemist wrote 'No open' (the cap would not release), with 'open' written above the cell. A re-test of 16.6 lb-in was recorded.</t>
      </text>
    </comment>
    <comment ref="H15" authorId="0" shapeId="0">
      <text>
        <t>AMBIGUOUS DIGIT - read as 13.2. The final digit is written cursively and could be 6 (13.6). Both readings are inside the acceptance band, so the 'OK' result is unaffected.</t>
      </text>
    </comment>
    <comment ref="M15" authorId="0" shapeId="0">
      <text>
        <t>AMBIGUOUS DIGITS - read as 20.0. The last character is heavily over-written and could also be 20.6. It is ringed as rejected either way, and the re-test (11.5) is recorded, so the outcome is unaffected. Verify against the original.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tabColor rgb="00375623"/>
    <outlinePr summaryBelow="1" summaryRight="1"/>
    <pageSetUpPr fitToPage="1"/>
  </sheetPr>
  <dimension ref="A1:I51"/>
  <sheetViews>
    <sheetView showGridLines="0" workbookViewId="0">
      <pane ySplit="2" topLeftCell="A3" activePane="bottomLeft" state="frozen"/>
      <selection pane="bottomLeft" activeCell="A1" sqref="A1"/>
    </sheetView>
  </sheetViews>
  <sheetFormatPr baseColWidth="8" defaultRowHeight="15"/>
  <cols>
    <col width="30" customWidth="1" min="1" max="1"/>
    <col width="23" customWidth="1" min="2" max="2"/>
    <col width="31" customWidth="1" min="3" max="3"/>
    <col width="12" customWidth="1" min="4" max="4"/>
    <col width="17" customWidth="1" min="5" max="5"/>
    <col width="8" customWidth="1" min="6" max="6"/>
    <col width="35" customWidth="1" min="7" max="7"/>
    <col width="22" customWidth="1" min="8" max="8"/>
    <col width="16" customWidth="1" min="9" max="9"/>
  </cols>
  <sheetData>
    <row r="1" ht="26" customHeight="1">
      <c r="A1" s="1" t="inlineStr">
        <is>
          <t>ASIAN LAKTO INDUSTRIES LTD – QC RECORDS, AUGUST 2026</t>
        </is>
      </c>
      <c r="B1" s="2" t="n"/>
      <c r="C1" s="2" t="n"/>
      <c r="D1" s="2" t="n"/>
      <c r="E1" s="2" t="n"/>
      <c r="F1" s="2" t="n"/>
      <c r="G1" s="2" t="n"/>
      <c r="H1" s="2" t="n"/>
      <c r="I1" s="2" t="n"/>
    </row>
    <row r="2" ht="18" customHeight="1">
      <c r="A2" s="3" t="inlineStr">
        <is>
          <t>Five photographed paper forms, transcribed and verified. One sheet per source document.</t>
        </is>
      </c>
      <c r="B2" s="4" t="n"/>
      <c r="C2" s="4" t="n"/>
      <c r="D2" s="4" t="n"/>
      <c r="E2" s="4" t="n"/>
      <c r="F2" s="4" t="n"/>
      <c r="G2" s="4" t="n"/>
      <c r="H2" s="4" t="n"/>
      <c r="I2" s="4" t="n"/>
    </row>
    <row r="4">
      <c r="A4" s="5" t="inlineStr">
        <is>
          <t>Acceptance band for cap-removal torque (editable)</t>
        </is>
      </c>
    </row>
    <row r="5">
      <c r="A5" s="6" t="inlineStr">
        <is>
          <t>Lower limit (lb-in)</t>
        </is>
      </c>
      <c r="B5" s="7" t="n">
        <v>8</v>
      </c>
    </row>
    <row r="6">
      <c r="A6" s="6" t="inlineStr">
        <is>
          <t>Upper limit (lb-in)</t>
        </is>
      </c>
      <c r="B6" s="7" t="n">
        <v>19</v>
      </c>
    </row>
    <row r="7" ht="15" customHeight="1">
      <c r="A7" s="8" t="inlineStr">
        <is>
          <t>The torque form prints no specification limits. These two figures were derived from the source itself: across both torque sheets the chemist ringed 19 readings as rejected and left 39 un-ringed. Every un-ringed reading falls in 9.6–18.5 lb-in and every ringed one falls outside 7.9–20.0, so the true limits must lie between those bounds. 8.0 and 19.0 sit inside that gap. Replace them with the plant's actual specification and every check in the workbook re-derives.</t>
        </is>
      </c>
    </row>
    <row r="8" ht="15" customHeight="1"/>
    <row r="9" ht="15" customHeight="1"/>
    <row r="11">
      <c r="A11" s="5" t="inlineStr">
        <is>
          <t>Sheets in this workbook</t>
        </is>
      </c>
    </row>
    <row r="12">
      <c r="A12" s="9" t="inlineStr">
        <is>
          <t>Sheet</t>
        </is>
      </c>
      <c r="B12" s="9" t="inlineStr">
        <is>
          <t>Source photo</t>
        </is>
      </c>
      <c r="C12" s="9" t="inlineStr">
        <is>
          <t>Report</t>
        </is>
      </c>
      <c r="D12" s="9" t="inlineStr">
        <is>
          <t>Date</t>
        </is>
      </c>
      <c r="E12" s="9" t="inlineStr">
        <is>
          <t>Chemist</t>
        </is>
      </c>
      <c r="F12" s="9" t="inlineStr">
        <is>
          <t>Shift</t>
        </is>
      </c>
      <c r="G12" s="9" t="inlineStr">
        <is>
          <t>Product</t>
        </is>
      </c>
      <c r="H12" s="9" t="inlineStr">
        <is>
          <t>Data captured</t>
        </is>
      </c>
    </row>
    <row r="13">
      <c r="A13" s="10" t="inlineStr">
        <is>
          <t>CSD 17-08-2026</t>
        </is>
      </c>
      <c r="B13" s="11" t="inlineStr">
        <is>
          <t>Photo 3 (PDF page 3)</t>
        </is>
      </c>
      <c r="C13" s="11" t="inlineStr">
        <is>
          <t>CSD PET ONLINE RECORD</t>
        </is>
      </c>
      <c r="D13" s="12" t="inlineStr">
        <is>
          <t>17/08/26</t>
        </is>
      </c>
      <c r="E13" s="11" t="inlineStr">
        <is>
          <t>Pammee Singh</t>
        </is>
      </c>
      <c r="F13" s="12" t="inlineStr">
        <is>
          <t>Day</t>
        </is>
      </c>
      <c r="G13" s="11" t="inlineStr">
        <is>
          <t>MC2 Original 250 ml</t>
        </is>
      </c>
      <c r="H13" s="11">
        <f>'CSD 17-08-2026'!AB29&amp;" cell entries"</f>
        <v/>
      </c>
    </row>
    <row r="14">
      <c r="A14" s="10" t="inlineStr">
        <is>
          <t>CSD 19-08-2026</t>
        </is>
      </c>
      <c r="B14" s="11" t="inlineStr">
        <is>
          <t>Photo 5 (PDF page 5)</t>
        </is>
      </c>
      <c r="C14" s="11" t="inlineStr">
        <is>
          <t>CSD PET ONLINE RECORD</t>
        </is>
      </c>
      <c r="D14" s="12" t="inlineStr">
        <is>
          <t>19/08/26</t>
        </is>
      </c>
      <c r="E14" s="11" t="inlineStr">
        <is>
          <t>Aafreen</t>
        </is>
      </c>
      <c r="F14" s="12" t="inlineStr">
        <is>
          <t>Day</t>
        </is>
      </c>
      <c r="G14" s="11" t="inlineStr">
        <is>
          <t>MC2 Original 250 ml</t>
        </is>
      </c>
      <c r="H14" s="11">
        <f>'CSD 19-08-2026'!AB29&amp;" cell entries"</f>
        <v/>
      </c>
    </row>
    <row r="15">
      <c r="A15" s="10" t="inlineStr">
        <is>
          <t>CSD 20-08-2026</t>
        </is>
      </c>
      <c r="B15" s="11" t="inlineStr">
        <is>
          <t>Photo 1 (PDF page 1)</t>
        </is>
      </c>
      <c r="C15" s="11" t="inlineStr">
        <is>
          <t>CSD PET ONLINE RECORD</t>
        </is>
      </c>
      <c r="D15" s="12" t="inlineStr">
        <is>
          <t>20/08/26</t>
        </is>
      </c>
      <c r="E15" s="11" t="inlineStr">
        <is>
          <t>Pammee Singh</t>
        </is>
      </c>
      <c r="F15" s="12" t="inlineStr">
        <is>
          <t>Day</t>
        </is>
      </c>
      <c r="G15" s="11" t="inlineStr">
        <is>
          <t>MC2 Original 250 ml</t>
        </is>
      </c>
      <c r="H15" s="11">
        <f>'CSD 20-08-2026'!AB29&amp;" cell entries"</f>
        <v/>
      </c>
    </row>
    <row r="16">
      <c r="A16" s="10" t="inlineStr">
        <is>
          <t>Torque 17-08-2026</t>
        </is>
      </c>
      <c r="B16" s="11" t="inlineStr">
        <is>
          <t>Photo 4 (PDF page 4)</t>
        </is>
      </c>
      <c r="C16" s="11" t="inlineStr">
        <is>
          <t>TORQUE TESTING REPORT (HYMECH LINE)</t>
        </is>
      </c>
      <c r="D16" s="12" t="inlineStr">
        <is>
          <t>17/08/26</t>
        </is>
      </c>
      <c r="E16" s="11" t="inlineStr">
        <is>
          <t>Pammee</t>
        </is>
      </c>
      <c r="F16" s="12" t="inlineStr">
        <is>
          <t>Day</t>
        </is>
      </c>
      <c r="G16" s="11" t="inlineStr">
        <is>
          <t>MC2 Original 250 ml  (cap make MD)</t>
        </is>
      </c>
      <c r="H16" s="11">
        <f>'Torque 17-08-2026'!$B$37&amp;" torque readings"</f>
        <v/>
      </c>
    </row>
    <row r="17">
      <c r="A17" s="10" t="inlineStr">
        <is>
          <t>Torque 20-08-2026</t>
        </is>
      </c>
      <c r="B17" s="11" t="inlineStr">
        <is>
          <t>Photo 2 (PDF page 2)</t>
        </is>
      </c>
      <c r="C17" s="11" t="inlineStr">
        <is>
          <t>TORQUE TESTING REPORT (HYMECH LINE)</t>
        </is>
      </c>
      <c r="D17" s="12" t="inlineStr">
        <is>
          <t>20/08/26</t>
        </is>
      </c>
      <c r="E17" s="11" t="inlineStr">
        <is>
          <t>Pammee Singh</t>
        </is>
      </c>
      <c r="F17" s="12" t="inlineStr">
        <is>
          <t>Day</t>
        </is>
      </c>
      <c r="G17" s="11" t="inlineStr">
        <is>
          <t>MC2 Original 250 ml  (cap make MD)</t>
        </is>
      </c>
      <c r="H17" s="11">
        <f>'Torque 20-08-2026'!$B$37&amp;" torque readings"</f>
        <v/>
      </c>
    </row>
    <row r="19">
      <c r="A19" s="5" t="inlineStr">
        <is>
          <t>Live verification roll-up</t>
        </is>
      </c>
    </row>
    <row r="20">
      <c r="A20" s="9" t="inlineStr">
        <is>
          <t>Check</t>
        </is>
      </c>
      <c r="B20" s="9" t="n"/>
      <c r="C20" s="9" t="inlineStr">
        <is>
          <t>Result</t>
        </is>
      </c>
      <c r="D20" s="9" t="inlineStr">
        <is>
          <t>Expected</t>
        </is>
      </c>
      <c r="E20" s="9" t="n"/>
      <c r="F20" s="9" t="n"/>
    </row>
    <row r="21">
      <c r="A21" s="10" t="inlineStr">
        <is>
          <t>Numeric torque readings transcribed</t>
        </is>
      </c>
      <c r="B21" s="13" t="n"/>
      <c r="C21" s="14">
        <f>'Torque 17-08-2026'!$B$37+'Torque 20-08-2026'!$B$37</f>
        <v/>
      </c>
      <c r="D21" s="8" t="inlineStr">
        <is>
          <t>58</t>
        </is>
      </c>
      <c r="E21" s="13" t="n"/>
      <c r="F21" s="13" t="n"/>
    </row>
    <row r="22">
      <c r="A22" s="10" t="inlineStr">
        <is>
          <t>Entries the chemist ringed as rejected</t>
        </is>
      </c>
      <c r="B22" s="13" t="n"/>
      <c r="C22" s="14">
        <f>'Torque 17-08-2026'!R26+'Torque 17-08-2026'!R29+'Torque 20-08-2026'!R26+'Torque 20-08-2026'!R29</f>
        <v/>
      </c>
      <c r="D22" s="8" t="inlineStr">
        <is>
          <t>21 = 19 numeric readings + 2 'No open' entries</t>
        </is>
      </c>
      <c r="E22" s="13" t="n"/>
      <c r="F22" s="13" t="n"/>
    </row>
    <row r="23">
      <c r="A23" s="10" t="inlineStr">
        <is>
          <t>Numeric readings the band formula flags as out of spec</t>
        </is>
      </c>
      <c r="B23" s="13" t="n"/>
      <c r="C23" s="14">
        <f>'Torque 17-08-2026'!R27+'Torque 17-08-2026'!R30+'Torque 20-08-2026'!R27+'Torque 20-08-2026'!R30</f>
        <v/>
      </c>
      <c r="D23" s="8" t="inlineStr">
        <is>
          <t>19 – must equal the ringed numeric readings</t>
        </is>
      </c>
      <c r="E23" s="13" t="n"/>
      <c r="F23" s="13" t="n"/>
    </row>
    <row r="24">
      <c r="A24" s="10" t="inlineStr">
        <is>
          <t>Band test disagrees with the chemist's ringing</t>
        </is>
      </c>
      <c r="B24" s="13" t="n"/>
      <c r="C24" s="14">
        <f>'Torque 17-08-2026'!R28+'Torque 17-08-2026'!R31+'Torque 20-08-2026'!R28+'Torque 20-08-2026'!R31</f>
        <v/>
      </c>
      <c r="D24" s="8" t="inlineStr">
        <is>
          <t>0 – any other value means a digit was misread</t>
        </is>
      </c>
      <c r="E24" s="13" t="n"/>
      <c r="F24" s="13" t="n"/>
    </row>
    <row r="25">
      <c r="A25" s="10" t="inlineStr">
        <is>
          <t>CSD :00/:30 reading pairs written on the forms</t>
        </is>
      </c>
      <c r="B25" s="13" t="n"/>
      <c r="C25" s="14">
        <f>'CSD 17-08-2026'!AG29+'CSD 19-08-2026'!AG29+'CSD 20-08-2026'!AG29</f>
        <v/>
      </c>
      <c r="D25" s="8" t="inlineStr">
        <is>
          <t>102</t>
        </is>
      </c>
      <c r="E25" s="13" t="n"/>
      <c r="F25" s="13" t="n"/>
    </row>
    <row r="26">
      <c r="A26" s="10" t="inlineStr">
        <is>
          <t>CSD pairs whose two halves differ</t>
        </is>
      </c>
      <c r="B26" s="13" t="n"/>
      <c r="C26" s="14">
        <f>'CSD 17-08-2026'!AH29+'CSD 19-08-2026'!AH29+'CSD 20-08-2026'!AH29</f>
        <v/>
      </c>
      <c r="D26" s="8" t="inlineStr">
        <is>
          <t>2 – both are source anomalies, flagged with comments</t>
        </is>
      </c>
      <c r="E26" s="13" t="n"/>
      <c r="F26" s="13" t="n"/>
    </row>
    <row r="28">
      <c r="A28" s="5" t="inlineStr">
        <is>
          <t>Flags, ambiguities and source anomalies</t>
        </is>
      </c>
    </row>
    <row r="29">
      <c r="A29" s="9" t="inlineStr">
        <is>
          <t>Sheet</t>
        </is>
      </c>
      <c r="B29" s="9" t="inlineStr">
        <is>
          <t>Where</t>
        </is>
      </c>
      <c r="C29" s="9" t="inlineStr">
        <is>
          <t>Kind</t>
        </is>
      </c>
      <c r="D29" s="9" t="inlineStr">
        <is>
          <t>What we found and what we did</t>
        </is>
      </c>
      <c r="E29" s="15" t="n"/>
      <c r="F29" s="15" t="n"/>
      <c r="G29" s="15" t="n"/>
      <c r="H29" s="15" t="n"/>
      <c r="I29" s="16" t="n"/>
    </row>
    <row r="30" ht="42" customHeight="1">
      <c r="A30" s="17" t="inlineStr">
        <is>
          <t>Torque 20-08-2026</t>
        </is>
      </c>
      <c r="B30" s="17" t="inlineStr">
        <is>
          <t>11:00, head 6</t>
        </is>
      </c>
      <c r="C30" s="18" t="inlineStr">
        <is>
          <t>Source gap</t>
        </is>
      </c>
      <c r="D30" s="17" t="inlineStr">
        <is>
          <t>7.9 lb-in is ringed as rejected but no re-test was written underneath, unlike every other ringed reading on either sheet. The head's outcome is unrecorded on the form; the cell is left empty here rather than filled in.</t>
        </is>
      </c>
      <c r="E30" s="13" t="n"/>
      <c r="F30" s="13" t="n"/>
      <c r="G30" s="13" t="n"/>
      <c r="H30" s="13" t="n"/>
      <c r="I30" s="13" t="n"/>
    </row>
    <row r="31" ht="42" customHeight="1">
      <c r="A31" s="17" t="inlineStr">
        <is>
          <t>CSD 20-08-2026</t>
        </is>
      </c>
      <c r="B31" s="17" t="inlineStr">
        <is>
          <t>Temperature, 12:00</t>
        </is>
      </c>
      <c r="C31" s="18" t="inlineStr">
        <is>
          <t>Source anomaly / verify</t>
        </is>
      </c>
      <c r="D31" s="17" t="inlineStr">
        <is>
          <t>Reads 6.1 °C. Legible, but it breaks the :00/:30 pairing used throughout the sheet (12:30 reads 10.1) and is far below every other temperature logged that day. Reproduced as written.</t>
        </is>
      </c>
      <c r="E31" s="13" t="n"/>
      <c r="F31" s="13" t="n"/>
      <c r="G31" s="13" t="n"/>
      <c r="H31" s="13" t="n"/>
      <c r="I31" s="13" t="n"/>
    </row>
    <row r="32" ht="42" customHeight="1">
      <c r="A32" s="17" t="inlineStr">
        <is>
          <t>CSD 17-08-2026</t>
        </is>
      </c>
      <c r="B32" s="17" t="inlineStr">
        <is>
          <t>Temperature, 02:30</t>
        </is>
      </c>
      <c r="C32" s="18" t="inlineStr">
        <is>
          <t>Source anomaly / verify</t>
        </is>
      </c>
      <c r="D32" s="17" t="inlineStr">
        <is>
          <t>Reads 12.8 °C against 12.2 °C at 02:00 – the only unequal pair on the sheet. Both digits are clear; reproduced rather than harmonised.</t>
        </is>
      </c>
      <c r="E32" s="13" t="n"/>
      <c r="F32" s="13" t="n"/>
      <c r="G32" s="13" t="n"/>
      <c r="H32" s="13" t="n"/>
      <c r="I32" s="13" t="n"/>
    </row>
    <row r="33" ht="42" customHeight="1">
      <c r="A33" s="17" t="inlineStr">
        <is>
          <t>Torque 20-08-2026</t>
        </is>
      </c>
      <c r="B33" s="17" t="inlineStr">
        <is>
          <t>01:00, head 11</t>
        </is>
      </c>
      <c r="C33" s="18" t="inlineStr">
        <is>
          <t>Ambiguous digits</t>
        </is>
      </c>
      <c r="D33" s="17" t="inlineStr">
        <is>
          <t>Read as 20.0; the last character is over-written and could be 20.6. Ringed as rejected either way and re-tested at 11.5, so the outcome is unaffected.</t>
        </is>
      </c>
      <c r="E33" s="13" t="n"/>
      <c r="F33" s="13" t="n"/>
      <c r="G33" s="13" t="n"/>
      <c r="H33" s="13" t="n"/>
      <c r="I33" s="13" t="n"/>
    </row>
    <row r="34" ht="42" customHeight="1">
      <c r="A34" s="17" t="inlineStr">
        <is>
          <t>Torque 20-08-2026</t>
        </is>
      </c>
      <c r="B34" s="17" t="inlineStr">
        <is>
          <t>01:00, head 6</t>
        </is>
      </c>
      <c r="C34" s="18" t="inlineStr">
        <is>
          <t>Ambiguous digit</t>
        </is>
      </c>
      <c r="D34" s="17" t="inlineStr">
        <is>
          <t>Read as 13.2; the final digit could be 6. Both values are inside the band, so the OK result is unaffected.</t>
        </is>
      </c>
      <c r="E34" s="13" t="n"/>
      <c r="F34" s="13" t="n"/>
      <c r="G34" s="13" t="n"/>
      <c r="H34" s="13" t="n"/>
      <c r="I34" s="13" t="n"/>
    </row>
    <row r="35" ht="42" customHeight="1">
      <c r="A35" s="17" t="inlineStr">
        <is>
          <t>Torque 17-08-2026</t>
        </is>
      </c>
      <c r="B35" s="17" t="inlineStr">
        <is>
          <t>11:00, head 10</t>
        </is>
      </c>
      <c r="C35" s="18" t="inlineStr">
        <is>
          <t>Ambiguous digit</t>
        </is>
      </c>
      <c r="D35" s="17" t="inlineStr">
        <is>
          <t>Read as 6.0; the leading digit is written over itself and 0 is conceivable. Ringed and re-tested at 10.8 either way.</t>
        </is>
      </c>
      <c r="E35" s="13" t="n"/>
      <c r="F35" s="13" t="n"/>
      <c r="G35" s="13" t="n"/>
      <c r="H35" s="13" t="n"/>
      <c r="I35" s="13" t="n"/>
    </row>
    <row r="36" ht="42" customHeight="1">
      <c r="A36" s="17" t="inlineStr">
        <is>
          <t>Torque 17-08-2026</t>
        </is>
      </c>
      <c r="B36" s="17" t="inlineStr">
        <is>
          <t>01:00, head 13</t>
        </is>
      </c>
      <c r="C36" s="18" t="inlineStr">
        <is>
          <t>Partially overlapped</t>
        </is>
      </c>
      <c r="D36" s="17" t="inlineStr">
        <is>
          <t>Read as 25.1; the last digit sits on the cell boundary and is crossed by the ring drawn around head 14.</t>
        </is>
      </c>
      <c r="E36" s="13" t="n"/>
      <c r="F36" s="13" t="n"/>
      <c r="G36" s="13" t="n"/>
      <c r="H36" s="13" t="n"/>
      <c r="I36" s="13" t="n"/>
    </row>
    <row r="37" ht="42" customHeight="1">
      <c r="A37" s="17" t="inlineStr">
        <is>
          <t>Torque 17-08-2026 / 20-08-2026</t>
        </is>
      </c>
      <c r="B37" s="17" t="inlineStr">
        <is>
          <t>11:00, heads 14 and 7</t>
        </is>
      </c>
      <c r="C37" s="18" t="inlineStr">
        <is>
          <t>Non-numeric entry</t>
        </is>
      </c>
      <c r="D37" s="17" t="inlineStr">
        <is>
          <t>'No open' written instead of a reading (the cap would not release), with 'open' written above the cell. Re-tests of 16.0 and 16.6 lb-in were recorded. Kept as text; the statistics count numeric readings only.</t>
        </is>
      </c>
      <c r="E37" s="13" t="n"/>
      <c r="F37" s="13" t="n"/>
      <c r="G37" s="13" t="n"/>
      <c r="H37" s="13" t="n"/>
      <c r="I37" s="13" t="n"/>
    </row>
    <row r="38" ht="42" customHeight="1">
      <c r="A38" s="17" t="inlineStr">
        <is>
          <t>CSD 17-08-2026 and 20-08-2026</t>
        </is>
      </c>
      <c r="B38" s="17" t="inlineStr">
        <is>
          <t>'As is brix' and '% Acidity' rows</t>
        </is>
      </c>
      <c r="C38" s="18" t="inlineStr">
        <is>
          <t>Source gap</t>
        </is>
      </c>
      <c r="D38" s="17" t="inlineStr">
        <is>
          <t>Both rows are entirely blank although the form requires brix every 30 minutes and acidity every hour. The 19-08 sheet has them filled. Left blank here.</t>
        </is>
      </c>
      <c r="E38" s="13" t="n"/>
      <c r="F38" s="13" t="n"/>
      <c r="G38" s="13" t="n"/>
      <c r="H38" s="13" t="n"/>
      <c r="I38" s="13" t="n"/>
    </row>
    <row r="39" ht="42" customHeight="1">
      <c r="A39" s="17" t="inlineStr">
        <is>
          <t>CSD 20-08-2026</t>
        </is>
      </c>
      <c r="B39" s="17" t="inlineStr">
        <is>
          <t>Note below the table</t>
        </is>
      </c>
      <c r="C39" s="18" t="inlineStr">
        <is>
          <t>Cut off in the photograph</t>
        </is>
      </c>
      <c r="D39" s="17" t="inlineStr">
        <is>
          <t>The handwritten note ends '...time 7:00 Pm start' and the final line runs off the bottom edge of the photograph. Transcribed as far as it is visible.</t>
        </is>
      </c>
      <c r="E39" s="13" t="n"/>
      <c r="F39" s="13" t="n"/>
      <c r="G39" s="13" t="n"/>
      <c r="H39" s="13" t="n"/>
      <c r="I39" s="13" t="n"/>
    </row>
    <row r="40" ht="42" customHeight="1">
      <c r="A40" s="17" t="inlineStr">
        <is>
          <t>CSD 17-08-2026</t>
        </is>
      </c>
      <c r="B40" s="17" t="inlineStr">
        <is>
          <t>Filler start annotation</t>
        </is>
      </c>
      <c r="C40" s="18" t="inlineStr">
        <is>
          <t>Uncertain word</t>
        </is>
      </c>
      <c r="D40" s="17" t="inlineStr">
        <is>
          <t>Read as 'Filler Start 8:38 AM'. The verb is written indistinctly; 'Start' is supported by readings beginning at 09:00 and by the same phrase on the 19-08 sheet.</t>
        </is>
      </c>
      <c r="E40" s="13" t="n"/>
      <c r="F40" s="13" t="n"/>
      <c r="G40" s="13" t="n"/>
      <c r="H40" s="13" t="n"/>
      <c r="I40" s="13" t="n"/>
    </row>
    <row r="41" ht="42" customHeight="1">
      <c r="A41" s="17" t="inlineStr">
        <is>
          <t>All CSD sheets</t>
        </is>
      </c>
      <c r="B41" s="17" t="inlineStr">
        <is>
          <t>Header block and lot-number rows</t>
        </is>
      </c>
      <c r="C41" s="18" t="inlineStr">
        <is>
          <t>Blank on form</t>
        </is>
      </c>
      <c r="D41" s="17" t="inlineStr">
        <is>
          <t>Finished Syrup B.No., Control Drink As is Brix / Invert Brix / % Acidity, and the Closure, Label and Preform Lot No. rows were all left blank by the chemist.</t>
        </is>
      </c>
      <c r="E41" s="13" t="n"/>
      <c r="F41" s="13" t="n"/>
      <c r="G41" s="13" t="n"/>
      <c r="H41" s="13" t="n"/>
      <c r="I41" s="13" t="n"/>
    </row>
    <row r="42" ht="42" customHeight="1">
      <c r="A42" s="17" t="inlineStr">
        <is>
          <t>All sheets</t>
        </is>
      </c>
      <c r="B42" s="17" t="inlineStr">
        <is>
          <t>Product name</t>
        </is>
      </c>
      <c r="C42" s="18" t="inlineStr">
        <is>
          <t>Reading note</t>
        </is>
      </c>
      <c r="D42" s="17" t="inlineStr">
        <is>
          <t>Read as 'MC2 Original 250 ml'; the 2 is written small, close to a subscript.</t>
        </is>
      </c>
      <c r="E42" s="13" t="n"/>
      <c r="F42" s="13" t="n"/>
      <c r="G42" s="13" t="n"/>
      <c r="H42" s="13" t="n"/>
      <c r="I42" s="13" t="n"/>
    </row>
    <row r="43" ht="42" customHeight="1">
      <c r="A43" s="17" t="inlineStr">
        <is>
          <t>Both torque sheets</t>
        </is>
      </c>
      <c r="B43" s="17" t="inlineStr">
        <is>
          <t>Acceptance limits</t>
        </is>
      </c>
      <c r="C43" s="18" t="inlineStr">
        <is>
          <t>Not printed on the form</t>
        </is>
      </c>
      <c r="D43" s="17" t="inlineStr">
        <is>
          <t>The band used by the checks was inferred from the chemist's own ringing – see the top of this sheet. It is not a figure taken from the document.</t>
        </is>
      </c>
      <c r="E43" s="13" t="n"/>
      <c r="F43" s="13" t="n"/>
      <c r="G43" s="13" t="n"/>
      <c r="H43" s="13" t="n"/>
      <c r="I43" s="13" t="n"/>
    </row>
    <row r="45">
      <c r="A45" s="5" t="inlineStr">
        <is>
          <t>How this workbook was produced</t>
        </is>
      </c>
    </row>
    <row r="46" ht="40" customHeight="1">
      <c r="A46" s="8" t="inlineStr">
        <is>
          <t>•  Five photographs were extracted from the supplied PDF at their embedded resolution (no re-rendering) and checked for EXIF rotation; none needed rotating.</t>
        </is>
      </c>
    </row>
    <row r="47" ht="40" customHeight="1">
      <c r="A47" s="8" t="inlineStr">
        <is>
          <t>•  The photographs group into two report families: three dated CSD PET Online Record sheets (17, 19 and 20 August) and two dated Torque Testing Report sheets (17 and 20 August). No photograph is a continuation page of another, so each gets its own sheet.</t>
        </is>
      </c>
    </row>
    <row r="48" ht="40" customHeight="1">
      <c r="A48" s="8" t="inlineStr">
        <is>
          <t>•  Column and row rulings were detected computationally in each photograph, then every data cell was cut out individually and read at high magnification, so no value depends on judging which column a digit belongs to by eye.</t>
        </is>
      </c>
    </row>
    <row r="49" ht="40" customHeight="1">
      <c r="A49" s="8" t="inlineStr">
        <is>
          <t>•  Neither form carries an arithmetic column to check against, so two structural checks were used instead: on the torque sheets, whether a single acceptance band separates the readings the chemist ringed from the ones he did not (58 of 58 agree); on the CSD sheets, whether the :00 and :30 halves of each logged pair match (100 of 102 do, and both exceptions are listed above).</t>
        </is>
      </c>
    </row>
    <row r="50" ht="40" customHeight="1">
      <c r="A50" s="8" t="inlineStr">
        <is>
          <t>•  Every total, minimum, maximum, average, count and spec test in this workbook is a formula over the transcribed cells. The workbook was recalculated with LibreOffice and contains no formula errors.</t>
        </is>
      </c>
    </row>
    <row r="51" ht="40" customHeight="1">
      <c r="A51" s="8" t="inlineStr">
        <is>
          <t>•  Where the paper form groups rows with merged cells or repeated headers, this workbook uses a single header row plus a shaded banner instead. Times are printed on the form in 12-hour form with no am/pm marker; a 24-hour row was added beneath them on the CSD sheets. Both are presentation changes only – no value was altered.</t>
        </is>
      </c>
    </row>
  </sheetData>
  <mergeCells count="38">
    <mergeCell ref="A24:B24"/>
    <mergeCell ref="D32:I32"/>
    <mergeCell ref="A46:I46"/>
    <mergeCell ref="D41:I41"/>
    <mergeCell ref="A7:I9"/>
    <mergeCell ref="A50:I50"/>
    <mergeCell ref="D43:I43"/>
    <mergeCell ref="A2:I2"/>
    <mergeCell ref="A25:B25"/>
    <mergeCell ref="A47:I47"/>
    <mergeCell ref="D37:I37"/>
    <mergeCell ref="D25:F25"/>
    <mergeCell ref="D30:I30"/>
    <mergeCell ref="D39:I39"/>
    <mergeCell ref="D24:F24"/>
    <mergeCell ref="D33:I33"/>
    <mergeCell ref="A26:B26"/>
    <mergeCell ref="A21:B21"/>
    <mergeCell ref="D42:I42"/>
    <mergeCell ref="D38:I38"/>
    <mergeCell ref="D23:F23"/>
    <mergeCell ref="D29:I29"/>
    <mergeCell ref="D26:F26"/>
    <mergeCell ref="D35:I35"/>
    <mergeCell ref="A23:B23"/>
    <mergeCell ref="D20:F20"/>
    <mergeCell ref="A48:I48"/>
    <mergeCell ref="A22:B22"/>
    <mergeCell ref="D34:I34"/>
    <mergeCell ref="A20:B20"/>
    <mergeCell ref="A49:I49"/>
    <mergeCell ref="A51:I51"/>
    <mergeCell ref="D40:I40"/>
    <mergeCell ref="D22:F22"/>
    <mergeCell ref="D31:I31"/>
    <mergeCell ref="A1:I1"/>
    <mergeCell ref="D36:I36"/>
    <mergeCell ref="D21:F21"/>
  </mergeCells>
  <printOptions horizontalCentered="1"/>
  <pageMargins left="0.75" right="0.75" top="1" bottom="1" header="0.5" footer="0.5"/>
  <pageSetup orientation="landscape" fitToHeight="0" fitToWidth="1"/>
</worksheet>
</file>

<file path=xl/worksheets/sheet2.xml><?xml version="1.0" encoding="utf-8"?>
<worksheet xmlns="http://schemas.openxmlformats.org/spreadsheetml/2006/main">
  <sheetPr>
    <tabColor rgb="002E5496"/>
    <outlinePr summaryBelow="1" summaryRight="1"/>
    <pageSetUpPr fitToPage="1"/>
  </sheetPr>
  <dimension ref="A1:AH44"/>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7.6" customWidth="1" min="3" max="3"/>
    <col width="7.6" customWidth="1" min="4" max="4"/>
    <col width="7.6" customWidth="1" min="5" max="5"/>
    <col width="7.6" customWidth="1" min="6" max="6"/>
    <col width="7.6" customWidth="1" min="7" max="7"/>
    <col width="7.6" customWidth="1" min="8" max="8"/>
    <col width="7.6" customWidth="1" min="9" max="9"/>
    <col width="7.6" customWidth="1" min="10" max="10"/>
    <col width="7.6" customWidth="1" min="11" max="11"/>
    <col width="7.6" customWidth="1" min="12" max="12"/>
    <col width="7.6" customWidth="1" min="13" max="13"/>
    <col width="7.6" customWidth="1" min="14" max="14"/>
    <col width="7.6" customWidth="1" min="15" max="15"/>
    <col width="7.6" customWidth="1" min="16" max="16"/>
    <col width="7.6" customWidth="1" min="17" max="17"/>
    <col width="7.6" customWidth="1" min="18" max="18"/>
    <col width="7.6" customWidth="1" min="19" max="19"/>
    <col width="7.6" customWidth="1" min="20" max="20"/>
    <col width="7.6" customWidth="1" min="21" max="21"/>
    <col width="7.6" customWidth="1" min="22" max="22"/>
    <col width="7.6" customWidth="1" min="23" max="23"/>
    <col width="7.6" customWidth="1" min="24" max="24"/>
    <col width="7.6" customWidth="1" min="25" max="25"/>
    <col width="7.6" customWidth="1" min="26" max="26"/>
    <col width="7.6"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s>
  <sheetData>
    <row r="1" ht="24" customHeight="1">
      <c r="A1" s="1" t="inlineStr">
        <is>
          <t>CSD PET ONLINE RECORD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row>
    <row r="2" ht="18" customHeight="1">
      <c r="A2" s="3" t="inlineStr">
        <is>
          <t>Doc No.: CSD-PET-FRM-03    |    transcribed from Photo 3 (PDF page 3)</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4">
      <c r="A4" s="6" t="inlineStr">
        <is>
          <t>Date</t>
        </is>
      </c>
      <c r="B4" s="11" t="inlineStr">
        <is>
          <t>17/08/26</t>
        </is>
      </c>
      <c r="E4" s="6" t="inlineStr">
        <is>
          <t>Finished Syrup B.No.</t>
        </is>
      </c>
      <c r="F4" s="19" t="n"/>
      <c r="G4" s="19" t="n"/>
      <c r="H4" s="19" t="n"/>
      <c r="I4" s="19" t="n"/>
      <c r="J4" s="20" t="inlineStr">
        <is>
          <t>(blank on form)</t>
        </is>
      </c>
      <c r="K4" s="13" t="n"/>
      <c r="L4" s="13" t="n"/>
      <c r="M4" s="13" t="n"/>
    </row>
    <row r="5">
      <c r="A5" s="6" t="inlineStr">
        <is>
          <t>Product</t>
        </is>
      </c>
      <c r="B5" s="11" t="inlineStr">
        <is>
          <t>MC2 Original 250 ml</t>
        </is>
      </c>
      <c r="E5" s="6" t="inlineStr">
        <is>
          <t>Control Drink As is Brix</t>
        </is>
      </c>
      <c r="F5" s="19" t="n"/>
      <c r="G5" s="19" t="n"/>
      <c r="H5" s="19" t="n"/>
      <c r="I5" s="19" t="n"/>
      <c r="J5" s="20" t="inlineStr">
        <is>
          <t>(blank on form)</t>
        </is>
      </c>
      <c r="K5" s="13" t="n"/>
      <c r="L5" s="13" t="n"/>
      <c r="M5" s="13" t="n"/>
    </row>
    <row r="6">
      <c r="A6" s="6" t="inlineStr">
        <is>
          <t>Chemist</t>
        </is>
      </c>
      <c r="B6" s="11" t="inlineStr">
        <is>
          <t>Pammee Singh</t>
        </is>
      </c>
      <c r="E6" s="6" t="inlineStr">
        <is>
          <t>Control Drink Invert Brix</t>
        </is>
      </c>
      <c r="F6" s="19" t="n"/>
      <c r="G6" s="19" t="n"/>
      <c r="H6" s="19" t="n"/>
      <c r="I6" s="19" t="n"/>
      <c r="J6" s="20" t="inlineStr">
        <is>
          <t>(blank on form)</t>
        </is>
      </c>
      <c r="K6" s="13" t="n"/>
      <c r="L6" s="13" t="n"/>
      <c r="M6" s="13" t="n"/>
    </row>
    <row r="7">
      <c r="A7" s="6" t="inlineStr">
        <is>
          <t>Shift</t>
        </is>
      </c>
      <c r="B7" s="11" t="inlineStr">
        <is>
          <t>Day</t>
        </is>
      </c>
      <c r="E7" s="6" t="inlineStr">
        <is>
          <t>Control Drink % Acidity</t>
        </is>
      </c>
      <c r="F7" s="19" t="n"/>
      <c r="G7" s="19" t="n"/>
      <c r="H7" s="19" t="n"/>
      <c r="I7" s="19" t="n"/>
      <c r="J7" s="20" t="inlineStr">
        <is>
          <t>(blank on form)</t>
        </is>
      </c>
      <c r="K7" s="13" t="n"/>
      <c r="L7" s="13" t="n"/>
      <c r="M7" s="13" t="n"/>
    </row>
    <row r="9">
      <c r="A9" s="9" t="inlineStr">
        <is>
          <t>Parameter</t>
        </is>
      </c>
      <c r="B9" s="9" t="inlineStr">
        <is>
          <t>Frequency</t>
        </is>
      </c>
      <c r="C9" s="9" t="inlineStr">
        <is>
          <t>08:00</t>
        </is>
      </c>
      <c r="D9" s="9" t="inlineStr">
        <is>
          <t>08:30</t>
        </is>
      </c>
      <c r="E9" s="9" t="inlineStr">
        <is>
          <t>09:00</t>
        </is>
      </c>
      <c r="F9" s="9" t="inlineStr">
        <is>
          <t>09:30</t>
        </is>
      </c>
      <c r="G9" s="9" t="inlineStr">
        <is>
          <t>10:00</t>
        </is>
      </c>
      <c r="H9" s="9" t="inlineStr">
        <is>
          <t>10:30</t>
        </is>
      </c>
      <c r="I9" s="9" t="inlineStr">
        <is>
          <t>11:00</t>
        </is>
      </c>
      <c r="J9" s="9" t="inlineStr">
        <is>
          <t>11:30</t>
        </is>
      </c>
      <c r="K9" s="9" t="inlineStr">
        <is>
          <t>12:00</t>
        </is>
      </c>
      <c r="L9" s="9" t="inlineStr">
        <is>
          <t>12:30</t>
        </is>
      </c>
      <c r="M9" s="9" t="inlineStr">
        <is>
          <t>01:00</t>
        </is>
      </c>
      <c r="N9" s="9" t="inlineStr">
        <is>
          <t>01:30</t>
        </is>
      </c>
      <c r="O9" s="9" t="inlineStr">
        <is>
          <t>02:00</t>
        </is>
      </c>
      <c r="P9" s="9" t="inlineStr">
        <is>
          <t>02:30</t>
        </is>
      </c>
      <c r="Q9" s="9" t="inlineStr">
        <is>
          <t>03:00</t>
        </is>
      </c>
      <c r="R9" s="9" t="inlineStr">
        <is>
          <t>03:30</t>
        </is>
      </c>
      <c r="S9" s="9" t="inlineStr">
        <is>
          <t>04:00</t>
        </is>
      </c>
      <c r="T9" s="9" t="inlineStr">
        <is>
          <t>04:30</t>
        </is>
      </c>
      <c r="U9" s="9" t="inlineStr">
        <is>
          <t>05:00</t>
        </is>
      </c>
      <c r="V9" s="9" t="inlineStr">
        <is>
          <t>05:30</t>
        </is>
      </c>
      <c r="W9" s="9" t="inlineStr">
        <is>
          <t>06:00</t>
        </is>
      </c>
      <c r="X9" s="9" t="inlineStr">
        <is>
          <t>06:30</t>
        </is>
      </c>
      <c r="Y9" s="9" t="inlineStr">
        <is>
          <t>07:00</t>
        </is>
      </c>
      <c r="Z9" s="9" t="inlineStr">
        <is>
          <t>07:30</t>
        </is>
      </c>
      <c r="AA9" s="9" t="inlineStr">
        <is>
          <t>08:00</t>
        </is>
      </c>
      <c r="AB9" s="9" t="inlineStr">
        <is>
          <t>Entries</t>
        </is>
      </c>
      <c r="AC9" s="9" t="inlineStr">
        <is>
          <t>OK count</t>
        </is>
      </c>
      <c r="AD9" s="9" t="inlineStr">
        <is>
          <t>Min</t>
        </is>
      </c>
      <c r="AE9" s="9" t="inlineStr">
        <is>
          <t>Max</t>
        </is>
      </c>
      <c r="AF9" s="9" t="inlineStr">
        <is>
          <t>Average</t>
        </is>
      </c>
      <c r="AG9" s="9" t="inlineStr">
        <is>
          <t>:00/:30 pairs</t>
        </is>
      </c>
      <c r="AH9" s="9" t="inlineStr">
        <is>
          <t>Pairs differing</t>
        </is>
      </c>
    </row>
    <row r="10">
      <c r="A10" s="21" t="inlineStr">
        <is>
          <t>24-hour equivalent →</t>
        </is>
      </c>
      <c r="B10" s="22" t="inlineStr"/>
      <c r="C10" s="22" t="inlineStr">
        <is>
          <t>08:00</t>
        </is>
      </c>
      <c r="D10" s="22" t="inlineStr">
        <is>
          <t>08:30</t>
        </is>
      </c>
      <c r="E10" s="22" t="inlineStr">
        <is>
          <t>09:00</t>
        </is>
      </c>
      <c r="F10" s="22" t="inlineStr">
        <is>
          <t>09:30</t>
        </is>
      </c>
      <c r="G10" s="22" t="inlineStr">
        <is>
          <t>10:00</t>
        </is>
      </c>
      <c r="H10" s="22" t="inlineStr">
        <is>
          <t>10:30</t>
        </is>
      </c>
      <c r="I10" s="22" t="inlineStr">
        <is>
          <t>11:00</t>
        </is>
      </c>
      <c r="J10" s="22" t="inlineStr">
        <is>
          <t>11:30</t>
        </is>
      </c>
      <c r="K10" s="22" t="inlineStr">
        <is>
          <t>12:00</t>
        </is>
      </c>
      <c r="L10" s="22" t="inlineStr">
        <is>
          <t>12:30</t>
        </is>
      </c>
      <c r="M10" s="22" t="inlineStr">
        <is>
          <t>13:00</t>
        </is>
      </c>
      <c r="N10" s="22" t="inlineStr">
        <is>
          <t>13:30</t>
        </is>
      </c>
      <c r="O10" s="22" t="inlineStr">
        <is>
          <t>14:00</t>
        </is>
      </c>
      <c r="P10" s="22" t="inlineStr">
        <is>
          <t>14:30</t>
        </is>
      </c>
      <c r="Q10" s="22" t="inlineStr">
        <is>
          <t>15:00</t>
        </is>
      </c>
      <c r="R10" s="22" t="inlineStr">
        <is>
          <t>15:30</t>
        </is>
      </c>
      <c r="S10" s="22" t="inlineStr">
        <is>
          <t>16:00</t>
        </is>
      </c>
      <c r="T10" s="22" t="inlineStr">
        <is>
          <t>16:30</t>
        </is>
      </c>
      <c r="U10" s="22" t="inlineStr">
        <is>
          <t>17:00</t>
        </is>
      </c>
      <c r="V10" s="22" t="inlineStr">
        <is>
          <t>17:30</t>
        </is>
      </c>
      <c r="W10" s="22" t="inlineStr">
        <is>
          <t>18:00</t>
        </is>
      </c>
      <c r="X10" s="22" t="inlineStr">
        <is>
          <t>18:30</t>
        </is>
      </c>
      <c r="Y10" s="22" t="inlineStr">
        <is>
          <t>19:00</t>
        </is>
      </c>
      <c r="Z10" s="22" t="inlineStr">
        <is>
          <t>19:30</t>
        </is>
      </c>
      <c r="AA10" s="22" t="inlineStr">
        <is>
          <t>20:00</t>
        </is>
      </c>
      <c r="AB10" s="22" t="inlineStr"/>
      <c r="AC10" s="22" t="inlineStr"/>
      <c r="AD10" s="22" t="inlineStr"/>
      <c r="AE10" s="22" t="inlineStr"/>
      <c r="AF10" s="22" t="inlineStr"/>
      <c r="AG10" s="22" t="inlineStr"/>
      <c r="AH10" s="22" t="inlineStr"/>
    </row>
    <row r="11">
      <c r="A11" s="10" t="inlineStr">
        <is>
          <t>As is brix (Bev.)</t>
        </is>
      </c>
      <c r="B11" s="8" t="inlineStr">
        <is>
          <t>Startup &amp; Every 30 Min</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4">
        <f>COUNT($C11:$AA11)</f>
        <v/>
      </c>
      <c r="AC11" s="12" t="inlineStr"/>
      <c r="AD11" s="25">
        <f>IF(COUNT($C11:$AA11)=0,"",MIN($C11:$AA11))</f>
        <v/>
      </c>
      <c r="AE11" s="25">
        <f>IF(COUNT($C11:$AA11)=0,"",MAX($C11:$AA11))</f>
        <v/>
      </c>
      <c r="AF11" s="25">
        <f>IF(COUNT($C11:$AA11)=0,"",AVERAGE($C11:$AA11))</f>
        <v/>
      </c>
      <c r="AG11" s="24">
        <f>SUMPRODUCT((MOD(COLUMN($C11:$Z11)-COLUMN($C$1),2)=0)*($C11:$Z11&lt;&gt;"")*($D11:$AA11&lt;&gt;""))</f>
        <v/>
      </c>
      <c r="AH11" s="24">
        <f>SUMPRODUCT((MOD(COLUMN($C11:$Z11)-COLUMN($C$1),2)=0)*($C11:$Z11&lt;&gt;"")*($D11:$AA11&lt;&gt;"")*($C11:$Z11&lt;&gt;$D11:$AA11))</f>
        <v/>
      </c>
    </row>
    <row r="12">
      <c r="A12" s="26" t="inlineStr">
        <is>
          <t>% Acidity</t>
        </is>
      </c>
      <c r="B12" s="27" t="inlineStr">
        <is>
          <t>startup &amp; Every hrs</t>
        </is>
      </c>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c r="AA12" s="28" t="n"/>
      <c r="AB12" s="29">
        <f>COUNT($C12:$AA12)</f>
        <v/>
      </c>
      <c r="AC12" s="30" t="inlineStr"/>
      <c r="AD12" s="31">
        <f>IF(COUNT($C12:$AA12)=0,"",MIN($C12:$AA12))</f>
        <v/>
      </c>
      <c r="AE12" s="31">
        <f>IF(COUNT($C12:$AA12)=0,"",MAX($C12:$AA12))</f>
        <v/>
      </c>
      <c r="AF12" s="31">
        <f>IF(COUNT($C12:$AA12)=0,"",AVERAGE($C12:$AA12))</f>
        <v/>
      </c>
      <c r="AG12" s="29">
        <f>SUMPRODUCT((MOD(COLUMN($C12:$Z12)-COLUMN($C$1),2)=0)*($C12:$Z12&lt;&gt;"")*($D12:$AA12&lt;&gt;""))</f>
        <v/>
      </c>
      <c r="AH12" s="29">
        <f>SUMPRODUCT((MOD(COLUMN($C12:$Z12)-COLUMN($C$1),2)=0)*($C12:$Z12&lt;&gt;"")*($D12:$AA12&lt;&gt;"")*($C12:$Z12&lt;&gt;$D12:$AA12))</f>
        <v/>
      </c>
    </row>
    <row r="13">
      <c r="A13" s="10" t="inlineStr">
        <is>
          <t>Pressure</t>
        </is>
      </c>
      <c r="B13" s="8" t="inlineStr">
        <is>
          <t>Startup &amp; Every 30 Min</t>
        </is>
      </c>
      <c r="C13" s="23" t="n"/>
      <c r="D13" s="23" t="n"/>
      <c r="E13" s="23" t="n">
        <v>36</v>
      </c>
      <c r="F13" s="23" t="n">
        <v>36</v>
      </c>
      <c r="G13" s="23" t="n">
        <v>40</v>
      </c>
      <c r="H13" s="23" t="n">
        <v>40</v>
      </c>
      <c r="I13" s="23" t="n">
        <v>40</v>
      </c>
      <c r="J13" s="23" t="n">
        <v>40</v>
      </c>
      <c r="K13" s="23" t="n">
        <v>44</v>
      </c>
      <c r="L13" s="23" t="n">
        <v>44</v>
      </c>
      <c r="M13" s="23" t="n">
        <v>42</v>
      </c>
      <c r="N13" s="23" t="n">
        <v>42</v>
      </c>
      <c r="O13" s="23" t="n">
        <v>46</v>
      </c>
      <c r="P13" s="23" t="n">
        <v>46</v>
      </c>
      <c r="Q13" s="23" t="n">
        <v>44</v>
      </c>
      <c r="R13" s="23" t="n">
        <v>44</v>
      </c>
      <c r="S13" s="23" t="n">
        <v>44</v>
      </c>
      <c r="T13" s="23" t="n">
        <v>44</v>
      </c>
      <c r="U13" s="23" t="n">
        <v>46</v>
      </c>
      <c r="V13" s="23" t="n">
        <v>46</v>
      </c>
      <c r="W13" s="23" t="n"/>
      <c r="X13" s="23" t="n"/>
      <c r="Y13" s="23" t="n">
        <v>46</v>
      </c>
      <c r="Z13" s="23" t="n">
        <v>46</v>
      </c>
      <c r="AA13" s="23" t="n"/>
      <c r="AB13" s="24">
        <f>COUNT($C13:$AA13)</f>
        <v/>
      </c>
      <c r="AC13" s="12" t="inlineStr"/>
      <c r="AD13" s="25">
        <f>IF(COUNT($C13:$AA13)=0,"",MIN($C13:$AA13))</f>
        <v/>
      </c>
      <c r="AE13" s="25">
        <f>IF(COUNT($C13:$AA13)=0,"",MAX($C13:$AA13))</f>
        <v/>
      </c>
      <c r="AF13" s="25">
        <f>IF(COUNT($C13:$AA13)=0,"",AVERAGE($C13:$AA13))</f>
        <v/>
      </c>
      <c r="AG13" s="24">
        <f>SUMPRODUCT((MOD(COLUMN($C13:$Z13)-COLUMN($C$1),2)=0)*($C13:$Z13&lt;&gt;"")*($D13:$AA13&lt;&gt;""))</f>
        <v/>
      </c>
      <c r="AH13" s="24">
        <f>SUMPRODUCT((MOD(COLUMN($C13:$Z13)-COLUMN($C$1),2)=0)*($C13:$Z13&lt;&gt;"")*($D13:$AA13&lt;&gt;"")*($C13:$Z13&lt;&gt;$D13:$AA13))</f>
        <v/>
      </c>
    </row>
    <row r="14">
      <c r="A14" s="26" t="inlineStr">
        <is>
          <t>Temperature</t>
        </is>
      </c>
      <c r="B14" s="27" t="inlineStr">
        <is>
          <t>Startup &amp; Every 30 Min</t>
        </is>
      </c>
      <c r="C14" s="28" t="n"/>
      <c r="D14" s="28" t="n"/>
      <c r="E14" s="28" t="n">
        <v>10.4</v>
      </c>
      <c r="F14" s="28" t="n">
        <v>10.4</v>
      </c>
      <c r="G14" s="28" t="n">
        <v>13.4</v>
      </c>
      <c r="H14" s="28" t="n">
        <v>13.4</v>
      </c>
      <c r="I14" s="28" t="n">
        <v>11.7</v>
      </c>
      <c r="J14" s="28" t="n">
        <v>11.7</v>
      </c>
      <c r="K14" s="28" t="n">
        <v>14</v>
      </c>
      <c r="L14" s="28" t="n">
        <v>14</v>
      </c>
      <c r="M14" s="28" t="n">
        <v>10.6</v>
      </c>
      <c r="N14" s="28" t="n">
        <v>10.6</v>
      </c>
      <c r="O14" s="28" t="n">
        <v>12.2</v>
      </c>
      <c r="P14" s="32" t="n">
        <v>12.8</v>
      </c>
      <c r="Q14" s="28" t="n">
        <v>14.6</v>
      </c>
      <c r="R14" s="28" t="n">
        <v>14.6</v>
      </c>
      <c r="S14" s="28" t="n">
        <v>13.7</v>
      </c>
      <c r="T14" s="28" t="n">
        <v>13.7</v>
      </c>
      <c r="U14" s="28" t="n">
        <v>15.1</v>
      </c>
      <c r="V14" s="28" t="n">
        <v>15.1</v>
      </c>
      <c r="W14" s="28" t="n"/>
      <c r="X14" s="28" t="n"/>
      <c r="Y14" s="28" t="n">
        <v>15.2</v>
      </c>
      <c r="Z14" s="28" t="n">
        <v>15.2</v>
      </c>
      <c r="AA14" s="28" t="n"/>
      <c r="AB14" s="29">
        <f>COUNT($C14:$AA14)</f>
        <v/>
      </c>
      <c r="AC14" s="30" t="inlineStr"/>
      <c r="AD14" s="31">
        <f>IF(COUNT($C14:$AA14)=0,"",MIN($C14:$AA14))</f>
        <v/>
      </c>
      <c r="AE14" s="31">
        <f>IF(COUNT($C14:$AA14)=0,"",MAX($C14:$AA14))</f>
        <v/>
      </c>
      <c r="AF14" s="31">
        <f>IF(COUNT($C14:$AA14)=0,"",AVERAGE($C14:$AA14))</f>
        <v/>
      </c>
      <c r="AG14" s="29">
        <f>SUMPRODUCT((MOD(COLUMN($C14:$Z14)-COLUMN($C$1),2)=0)*($C14:$Z14&lt;&gt;"")*($D14:$AA14&lt;&gt;""))</f>
        <v/>
      </c>
      <c r="AH14" s="29">
        <f>SUMPRODUCT((MOD(COLUMN($C14:$Z14)-COLUMN($C$1),2)=0)*($C14:$Z14&lt;&gt;"")*($D14:$AA14&lt;&gt;"")*($C14:$Z14&lt;&gt;$D14:$AA14))</f>
        <v/>
      </c>
    </row>
    <row r="15">
      <c r="A15" s="10" t="inlineStr">
        <is>
          <t>G.V.</t>
        </is>
      </c>
      <c r="B15" s="8" t="inlineStr">
        <is>
          <t>Startup &amp; Every 30 Min</t>
        </is>
      </c>
      <c r="C15" s="23" t="n"/>
      <c r="D15" s="23" t="n"/>
      <c r="E15" s="23" t="n">
        <v>3.9</v>
      </c>
      <c r="F15" s="23" t="n">
        <v>3.9</v>
      </c>
      <c r="G15" s="23" t="n">
        <v>3.9</v>
      </c>
      <c r="H15" s="23" t="n">
        <v>3.9</v>
      </c>
      <c r="I15" s="23" t="n">
        <v>4.1</v>
      </c>
      <c r="J15" s="23" t="n">
        <v>4.1</v>
      </c>
      <c r="K15" s="23" t="n">
        <v>4.1</v>
      </c>
      <c r="L15" s="23" t="n">
        <v>4.1</v>
      </c>
      <c r="M15" s="23" t="n">
        <v>4.4</v>
      </c>
      <c r="N15" s="23" t="n">
        <v>4.4</v>
      </c>
      <c r="O15" s="23" t="n">
        <v>4.4</v>
      </c>
      <c r="P15" s="23" t="n">
        <v>4.4</v>
      </c>
      <c r="Q15" s="23" t="n">
        <v>4.1</v>
      </c>
      <c r="R15" s="23" t="n">
        <v>4.1</v>
      </c>
      <c r="S15" s="23" t="n">
        <v>4.2</v>
      </c>
      <c r="T15" s="23" t="n">
        <v>4.2</v>
      </c>
      <c r="U15" s="23" t="n">
        <v>4.1</v>
      </c>
      <c r="V15" s="23" t="n">
        <v>4.1</v>
      </c>
      <c r="W15" s="23" t="n"/>
      <c r="X15" s="23" t="n"/>
      <c r="Y15" s="23" t="n">
        <v>4.1</v>
      </c>
      <c r="Z15" s="23" t="n">
        <v>4.1</v>
      </c>
      <c r="AA15" s="23" t="n"/>
      <c r="AB15" s="24">
        <f>COUNT($C15:$AA15)</f>
        <v/>
      </c>
      <c r="AC15" s="12" t="inlineStr"/>
      <c r="AD15" s="25">
        <f>IF(COUNT($C15:$AA15)=0,"",MIN($C15:$AA15))</f>
        <v/>
      </c>
      <c r="AE15" s="25">
        <f>IF(COUNT($C15:$AA15)=0,"",MAX($C15:$AA15))</f>
        <v/>
      </c>
      <c r="AF15" s="25">
        <f>IF(COUNT($C15:$AA15)=0,"",AVERAGE($C15:$AA15))</f>
        <v/>
      </c>
      <c r="AG15" s="24">
        <f>SUMPRODUCT((MOD(COLUMN($C15:$Z15)-COLUMN($C$1),2)=0)*($C15:$Z15&lt;&gt;"")*($D15:$AA15&lt;&gt;""))</f>
        <v/>
      </c>
      <c r="AH15" s="24">
        <f>SUMPRODUCT((MOD(COLUMN($C15:$Z15)-COLUMN($C$1),2)=0)*($C15:$Z15&lt;&gt;"")*($D15:$AA15&lt;&gt;"")*($C15:$Z15&lt;&gt;$D15:$AA15))</f>
        <v/>
      </c>
    </row>
    <row r="16">
      <c r="A16" s="26" t="inlineStr">
        <is>
          <t>TOA</t>
        </is>
      </c>
      <c r="B16" s="27" t="inlineStr">
        <is>
          <t>Startup &amp; Every 30 Min</t>
        </is>
      </c>
      <c r="C16" s="30" t="n"/>
      <c r="D16" s="30" t="n"/>
      <c r="E16" s="30" t="inlineStr">
        <is>
          <t>OK</t>
        </is>
      </c>
      <c r="F16" s="30" t="inlineStr">
        <is>
          <t>OK</t>
        </is>
      </c>
      <c r="G16" s="30" t="inlineStr">
        <is>
          <t>OK</t>
        </is>
      </c>
      <c r="H16" s="30" t="inlineStr">
        <is>
          <t>OK</t>
        </is>
      </c>
      <c r="I16" s="30" t="inlineStr">
        <is>
          <t>OK</t>
        </is>
      </c>
      <c r="J16" s="30" t="inlineStr">
        <is>
          <t>OK</t>
        </is>
      </c>
      <c r="K16" s="30" t="inlineStr">
        <is>
          <t>OK</t>
        </is>
      </c>
      <c r="L16" s="30" t="inlineStr">
        <is>
          <t>OK</t>
        </is>
      </c>
      <c r="M16" s="30" t="inlineStr">
        <is>
          <t>OK</t>
        </is>
      </c>
      <c r="N16" s="30" t="inlineStr">
        <is>
          <t>OK</t>
        </is>
      </c>
      <c r="O16" s="30" t="inlineStr">
        <is>
          <t>OK</t>
        </is>
      </c>
      <c r="P16" s="30" t="inlineStr">
        <is>
          <t>OK</t>
        </is>
      </c>
      <c r="Q16" s="30" t="inlineStr">
        <is>
          <t>OK</t>
        </is>
      </c>
      <c r="R16" s="30" t="inlineStr">
        <is>
          <t>OK</t>
        </is>
      </c>
      <c r="S16" s="30" t="inlineStr">
        <is>
          <t>OK</t>
        </is>
      </c>
      <c r="T16" s="30" t="inlineStr">
        <is>
          <t>OK</t>
        </is>
      </c>
      <c r="U16" s="30" t="inlineStr">
        <is>
          <t>OK</t>
        </is>
      </c>
      <c r="V16" s="30" t="inlineStr">
        <is>
          <t>OK</t>
        </is>
      </c>
      <c r="W16" s="30" t="n"/>
      <c r="X16" s="30" t="n"/>
      <c r="Y16" s="30" t="inlineStr">
        <is>
          <t>OK</t>
        </is>
      </c>
      <c r="Z16" s="30" t="inlineStr">
        <is>
          <t>OK</t>
        </is>
      </c>
      <c r="AA16" s="30" t="n"/>
      <c r="AB16" s="29">
        <f>COUNTA($C16:$AA16)</f>
        <v/>
      </c>
      <c r="AC16" s="29">
        <f>COUNTIF($C16:$AA16,"OK")</f>
        <v/>
      </c>
      <c r="AD16" s="30" t="inlineStr"/>
      <c r="AE16" s="30" t="inlineStr"/>
      <c r="AF16" s="30" t="inlineStr"/>
      <c r="AG16" s="30" t="inlineStr"/>
      <c r="AH16" s="30" t="inlineStr"/>
    </row>
    <row r="17">
      <c r="A17" s="10" t="inlineStr">
        <is>
          <t>Stress Crack Test</t>
        </is>
      </c>
      <c r="B17" s="8" t="inlineStr">
        <is>
          <t>Start Up &amp; Every 4 Hours</t>
        </is>
      </c>
      <c r="C17" s="12" t="n"/>
      <c r="D17" s="12" t="n"/>
      <c r="E17" s="12" t="inlineStr">
        <is>
          <t>OK</t>
        </is>
      </c>
      <c r="F17" s="12" t="inlineStr">
        <is>
          <t>OK</t>
        </is>
      </c>
      <c r="G17" s="12" t="inlineStr">
        <is>
          <t>OK</t>
        </is>
      </c>
      <c r="H17" s="12" t="inlineStr">
        <is>
          <t>OK</t>
        </is>
      </c>
      <c r="I17" s="12" t="inlineStr">
        <is>
          <t>OK</t>
        </is>
      </c>
      <c r="J17" s="12" t="inlineStr">
        <is>
          <t>OK</t>
        </is>
      </c>
      <c r="K17" s="12" t="inlineStr">
        <is>
          <t>OK</t>
        </is>
      </c>
      <c r="L17" s="12" t="inlineStr">
        <is>
          <t>OK</t>
        </is>
      </c>
      <c r="M17" s="12" t="inlineStr">
        <is>
          <t>OK</t>
        </is>
      </c>
      <c r="N17" s="12" t="inlineStr">
        <is>
          <t>OK</t>
        </is>
      </c>
      <c r="O17" s="12" t="inlineStr">
        <is>
          <t>OK</t>
        </is>
      </c>
      <c r="P17" s="12" t="inlineStr">
        <is>
          <t>OK</t>
        </is>
      </c>
      <c r="Q17" s="12" t="inlineStr">
        <is>
          <t>OK</t>
        </is>
      </c>
      <c r="R17" s="12" t="inlineStr">
        <is>
          <t>OK</t>
        </is>
      </c>
      <c r="S17" s="12" t="inlineStr">
        <is>
          <t>OK</t>
        </is>
      </c>
      <c r="T17" s="12" t="inlineStr">
        <is>
          <t>OK</t>
        </is>
      </c>
      <c r="U17" s="12" t="inlineStr">
        <is>
          <t>OK</t>
        </is>
      </c>
      <c r="V17" s="12" t="inlineStr">
        <is>
          <t>OK</t>
        </is>
      </c>
      <c r="W17" s="12" t="n"/>
      <c r="X17" s="12" t="n"/>
      <c r="Y17" s="12" t="inlineStr">
        <is>
          <t>OK</t>
        </is>
      </c>
      <c r="Z17" s="12" t="inlineStr">
        <is>
          <t>OK</t>
        </is>
      </c>
      <c r="AA17" s="12" t="n"/>
      <c r="AB17" s="24">
        <f>COUNTA($C17:$AA17)</f>
        <v/>
      </c>
      <c r="AC17" s="24">
        <f>COUNTIF($C17:$AA17,"OK")</f>
        <v/>
      </c>
      <c r="AD17" s="12" t="inlineStr"/>
      <c r="AE17" s="12" t="inlineStr"/>
      <c r="AF17" s="12" t="inlineStr"/>
      <c r="AG17" s="12" t="inlineStr"/>
      <c r="AH17" s="12" t="inlineStr"/>
    </row>
    <row r="18">
      <c r="A18" s="26" t="inlineStr">
        <is>
          <t>Candling (observation)</t>
        </is>
      </c>
      <c r="B18" s="27" t="inlineStr">
        <is>
          <t>Every 2 hrs.</t>
        </is>
      </c>
      <c r="C18" s="30" t="n"/>
      <c r="D18" s="30" t="n"/>
      <c r="E18" s="30" t="inlineStr">
        <is>
          <t>–</t>
        </is>
      </c>
      <c r="F18" s="30" t="inlineStr">
        <is>
          <t>–</t>
        </is>
      </c>
      <c r="G18" s="30" t="inlineStr">
        <is>
          <t>–</t>
        </is>
      </c>
      <c r="H18" s="30" t="inlineStr">
        <is>
          <t>–</t>
        </is>
      </c>
      <c r="I18" s="30" t="inlineStr">
        <is>
          <t>–</t>
        </is>
      </c>
      <c r="J18" s="30" t="inlineStr">
        <is>
          <t>–</t>
        </is>
      </c>
      <c r="K18" s="30" t="inlineStr">
        <is>
          <t>–</t>
        </is>
      </c>
      <c r="L18" s="30" t="inlineStr">
        <is>
          <t>–</t>
        </is>
      </c>
      <c r="M18" s="30" t="inlineStr">
        <is>
          <t>–</t>
        </is>
      </c>
      <c r="N18" s="30" t="inlineStr">
        <is>
          <t>–</t>
        </is>
      </c>
      <c r="O18" s="30" t="inlineStr">
        <is>
          <t>–</t>
        </is>
      </c>
      <c r="P18" s="30" t="inlineStr">
        <is>
          <t>–</t>
        </is>
      </c>
      <c r="Q18" s="30" t="inlineStr">
        <is>
          <t>–</t>
        </is>
      </c>
      <c r="R18" s="30" t="inlineStr">
        <is>
          <t>–</t>
        </is>
      </c>
      <c r="S18" s="30" t="inlineStr">
        <is>
          <t>–</t>
        </is>
      </c>
      <c r="T18" s="30" t="inlineStr">
        <is>
          <t>–</t>
        </is>
      </c>
      <c r="U18" s="30" t="inlineStr">
        <is>
          <t>–</t>
        </is>
      </c>
      <c r="V18" s="30" t="inlineStr">
        <is>
          <t>–</t>
        </is>
      </c>
      <c r="W18" s="30" t="n"/>
      <c r="X18" s="30" t="n"/>
      <c r="Y18" s="30" t="inlineStr">
        <is>
          <t>–</t>
        </is>
      </c>
      <c r="Z18" s="30" t="inlineStr">
        <is>
          <t>–</t>
        </is>
      </c>
      <c r="AA18" s="30" t="n"/>
      <c r="AB18" s="29">
        <f>COUNTA($C18:$AA18)</f>
        <v/>
      </c>
      <c r="AC18" s="29">
        <f>COUNTIF($C18:$AA18,"OK")</f>
        <v/>
      </c>
      <c r="AD18" s="30" t="inlineStr"/>
      <c r="AE18" s="30" t="inlineStr"/>
      <c r="AF18" s="30" t="inlineStr"/>
      <c r="AG18" s="30" t="inlineStr"/>
      <c r="AH18" s="30" t="inlineStr"/>
    </row>
    <row r="19">
      <c r="A19" s="10" t="inlineStr">
        <is>
          <t>Beverage Temprature After Warmer</t>
        </is>
      </c>
      <c r="B19" s="8" t="inlineStr">
        <is>
          <t>Startup &amp; 4 hrs</t>
        </is>
      </c>
      <c r="C19" s="12" t="n"/>
      <c r="D19" s="12" t="n"/>
      <c r="E19" s="12" t="inlineStr">
        <is>
          <t>–</t>
        </is>
      </c>
      <c r="F19" s="12" t="inlineStr">
        <is>
          <t>–</t>
        </is>
      </c>
      <c r="G19" s="12" t="inlineStr">
        <is>
          <t>–</t>
        </is>
      </c>
      <c r="H19" s="12" t="inlineStr">
        <is>
          <t>–</t>
        </is>
      </c>
      <c r="I19" s="12" t="inlineStr">
        <is>
          <t>–</t>
        </is>
      </c>
      <c r="J19" s="12" t="inlineStr">
        <is>
          <t>–</t>
        </is>
      </c>
      <c r="K19" s="12" t="inlineStr">
        <is>
          <t>–</t>
        </is>
      </c>
      <c r="L19" s="12" t="inlineStr">
        <is>
          <t>–</t>
        </is>
      </c>
      <c r="M19" s="12" t="inlineStr">
        <is>
          <t>–</t>
        </is>
      </c>
      <c r="N19" s="12" t="inlineStr">
        <is>
          <t>–</t>
        </is>
      </c>
      <c r="O19" s="12" t="inlineStr">
        <is>
          <t>–</t>
        </is>
      </c>
      <c r="P19" s="12" t="inlineStr">
        <is>
          <t>–</t>
        </is>
      </c>
      <c r="Q19" s="12" t="inlineStr">
        <is>
          <t>–</t>
        </is>
      </c>
      <c r="R19" s="12" t="inlineStr">
        <is>
          <t>–</t>
        </is>
      </c>
      <c r="S19" s="12" t="inlineStr">
        <is>
          <t>–</t>
        </is>
      </c>
      <c r="T19" s="12" t="inlineStr">
        <is>
          <t>–</t>
        </is>
      </c>
      <c r="U19" s="12" t="inlineStr">
        <is>
          <t>–</t>
        </is>
      </c>
      <c r="V19" s="12" t="inlineStr">
        <is>
          <t>–</t>
        </is>
      </c>
      <c r="W19" s="12" t="n"/>
      <c r="X19" s="12" t="n"/>
      <c r="Y19" s="12" t="inlineStr">
        <is>
          <t>–</t>
        </is>
      </c>
      <c r="Z19" s="12" t="inlineStr">
        <is>
          <t>–</t>
        </is>
      </c>
      <c r="AA19" s="12" t="n"/>
      <c r="AB19" s="24">
        <f>COUNTA($C19:$AA19)</f>
        <v/>
      </c>
      <c r="AC19" s="24">
        <f>COUNTIF($C19:$AA19,"OK")</f>
        <v/>
      </c>
      <c r="AD19" s="12" t="inlineStr"/>
      <c r="AE19" s="12" t="inlineStr"/>
      <c r="AF19" s="12" t="inlineStr"/>
      <c r="AG19" s="12" t="inlineStr"/>
      <c r="AH19" s="12" t="inlineStr"/>
    </row>
    <row r="20">
      <c r="A20" s="26" t="inlineStr">
        <is>
          <t>Condensation on Bottle</t>
        </is>
      </c>
      <c r="B20" s="27" t="inlineStr">
        <is>
          <t>Startup &amp; 2 hrs</t>
        </is>
      </c>
      <c r="C20" s="30" t="n"/>
      <c r="D20" s="30" t="n"/>
      <c r="E20" s="30" t="inlineStr">
        <is>
          <t>–</t>
        </is>
      </c>
      <c r="F20" s="30" t="inlineStr">
        <is>
          <t>–</t>
        </is>
      </c>
      <c r="G20" s="30" t="inlineStr">
        <is>
          <t>–</t>
        </is>
      </c>
      <c r="H20" s="30" t="inlineStr">
        <is>
          <t>–</t>
        </is>
      </c>
      <c r="I20" s="30" t="inlineStr">
        <is>
          <t>–</t>
        </is>
      </c>
      <c r="J20" s="30" t="inlineStr">
        <is>
          <t>–</t>
        </is>
      </c>
      <c r="K20" s="30" t="inlineStr">
        <is>
          <t>–</t>
        </is>
      </c>
      <c r="L20" s="30" t="inlineStr">
        <is>
          <t>–</t>
        </is>
      </c>
      <c r="M20" s="30" t="inlineStr">
        <is>
          <t>–</t>
        </is>
      </c>
      <c r="N20" s="30" t="inlineStr">
        <is>
          <t>–</t>
        </is>
      </c>
      <c r="O20" s="30" t="inlineStr">
        <is>
          <t>–</t>
        </is>
      </c>
      <c r="P20" s="30" t="inlineStr">
        <is>
          <t>–</t>
        </is>
      </c>
      <c r="Q20" s="30" t="inlineStr">
        <is>
          <t>–</t>
        </is>
      </c>
      <c r="R20" s="30" t="inlineStr">
        <is>
          <t>–</t>
        </is>
      </c>
      <c r="S20" s="30" t="inlineStr">
        <is>
          <t>–</t>
        </is>
      </c>
      <c r="T20" s="30" t="inlineStr">
        <is>
          <t>–</t>
        </is>
      </c>
      <c r="U20" s="30" t="inlineStr">
        <is>
          <t>–</t>
        </is>
      </c>
      <c r="V20" s="30" t="inlineStr">
        <is>
          <t>–</t>
        </is>
      </c>
      <c r="W20" s="30" t="n"/>
      <c r="X20" s="30" t="n"/>
      <c r="Y20" s="30" t="inlineStr">
        <is>
          <t>–</t>
        </is>
      </c>
      <c r="Z20" s="30" t="inlineStr">
        <is>
          <t>–</t>
        </is>
      </c>
      <c r="AA20" s="30" t="n"/>
      <c r="AB20" s="29">
        <f>COUNTA($C20:$AA20)</f>
        <v/>
      </c>
      <c r="AC20" s="29">
        <f>COUNTIF($C20:$AA20,"OK")</f>
        <v/>
      </c>
      <c r="AD20" s="30" t="inlineStr"/>
      <c r="AE20" s="30" t="inlineStr"/>
      <c r="AF20" s="30" t="inlineStr"/>
      <c r="AG20" s="30" t="inlineStr"/>
      <c r="AH20" s="30" t="inlineStr"/>
    </row>
    <row r="21">
      <c r="A21" s="10" t="inlineStr">
        <is>
          <t>Label Alignment</t>
        </is>
      </c>
      <c r="B21" s="8" t="inlineStr">
        <is>
          <t>Startup &amp; Every 30 Min</t>
        </is>
      </c>
      <c r="C21" s="12" t="n"/>
      <c r="D21" s="12" t="n"/>
      <c r="E21" s="12" t="inlineStr">
        <is>
          <t>OK</t>
        </is>
      </c>
      <c r="F21" s="12" t="inlineStr">
        <is>
          <t>OK</t>
        </is>
      </c>
      <c r="G21" s="12" t="inlineStr">
        <is>
          <t>OK</t>
        </is>
      </c>
      <c r="H21" s="12" t="inlineStr">
        <is>
          <t>OK</t>
        </is>
      </c>
      <c r="I21" s="12" t="inlineStr">
        <is>
          <t>OK</t>
        </is>
      </c>
      <c r="J21" s="12" t="inlineStr">
        <is>
          <t>OK</t>
        </is>
      </c>
      <c r="K21" s="12" t="inlineStr">
        <is>
          <t>OK</t>
        </is>
      </c>
      <c r="L21" s="12" t="inlineStr">
        <is>
          <t>OK</t>
        </is>
      </c>
      <c r="M21" s="12" t="inlineStr">
        <is>
          <t>OK</t>
        </is>
      </c>
      <c r="N21" s="12" t="inlineStr">
        <is>
          <t>OK</t>
        </is>
      </c>
      <c r="O21" s="12" t="inlineStr">
        <is>
          <t>OK</t>
        </is>
      </c>
      <c r="P21" s="12" t="inlineStr">
        <is>
          <t>OK</t>
        </is>
      </c>
      <c r="Q21" s="12" t="inlineStr">
        <is>
          <t>OK</t>
        </is>
      </c>
      <c r="R21" s="12" t="inlineStr">
        <is>
          <t>OK</t>
        </is>
      </c>
      <c r="S21" s="12" t="inlineStr">
        <is>
          <t>OK</t>
        </is>
      </c>
      <c r="T21" s="12" t="inlineStr">
        <is>
          <t>OK</t>
        </is>
      </c>
      <c r="U21" s="12" t="inlineStr">
        <is>
          <t>OK</t>
        </is>
      </c>
      <c r="V21" s="12" t="inlineStr">
        <is>
          <t>OK</t>
        </is>
      </c>
      <c r="W21" s="12" t="n"/>
      <c r="X21" s="12" t="n"/>
      <c r="Y21" s="12" t="inlineStr">
        <is>
          <t>OK</t>
        </is>
      </c>
      <c r="Z21" s="12" t="inlineStr">
        <is>
          <t>OK</t>
        </is>
      </c>
      <c r="AA21" s="12" t="n"/>
      <c r="AB21" s="24">
        <f>COUNTA($C21:$AA21)</f>
        <v/>
      </c>
      <c r="AC21" s="24">
        <f>COUNTIF($C21:$AA21,"OK")</f>
        <v/>
      </c>
      <c r="AD21" s="12" t="inlineStr"/>
      <c r="AE21" s="12" t="inlineStr"/>
      <c r="AF21" s="12" t="inlineStr"/>
      <c r="AG21" s="12" t="inlineStr"/>
      <c r="AH21" s="12" t="inlineStr"/>
    </row>
    <row r="22">
      <c r="A22" s="26" t="inlineStr">
        <is>
          <t>Glue Application</t>
        </is>
      </c>
      <c r="B22" s="27" t="inlineStr">
        <is>
          <t>Startup &amp; Every 30 Min</t>
        </is>
      </c>
      <c r="C22" s="30" t="n"/>
      <c r="D22" s="30" t="n"/>
      <c r="E22" s="30" t="inlineStr">
        <is>
          <t>OK</t>
        </is>
      </c>
      <c r="F22" s="30" t="inlineStr">
        <is>
          <t>OK</t>
        </is>
      </c>
      <c r="G22" s="30" t="inlineStr">
        <is>
          <t>OK</t>
        </is>
      </c>
      <c r="H22" s="30" t="inlineStr">
        <is>
          <t>OK</t>
        </is>
      </c>
      <c r="I22" s="30" t="inlineStr">
        <is>
          <t>OK</t>
        </is>
      </c>
      <c r="J22" s="30" t="inlineStr">
        <is>
          <t>OK</t>
        </is>
      </c>
      <c r="K22" s="30" t="inlineStr">
        <is>
          <t>OK</t>
        </is>
      </c>
      <c r="L22" s="30" t="inlineStr">
        <is>
          <t>OK</t>
        </is>
      </c>
      <c r="M22" s="30" t="inlineStr">
        <is>
          <t>OK</t>
        </is>
      </c>
      <c r="N22" s="30" t="inlineStr">
        <is>
          <t>OK</t>
        </is>
      </c>
      <c r="O22" s="30" t="inlineStr">
        <is>
          <t>OK</t>
        </is>
      </c>
      <c r="P22" s="30" t="inlineStr">
        <is>
          <t>OK</t>
        </is>
      </c>
      <c r="Q22" s="30" t="inlineStr">
        <is>
          <t>OK</t>
        </is>
      </c>
      <c r="R22" s="30" t="inlineStr">
        <is>
          <t>OK</t>
        </is>
      </c>
      <c r="S22" s="30" t="inlineStr">
        <is>
          <t>OK</t>
        </is>
      </c>
      <c r="T22" s="30" t="inlineStr">
        <is>
          <t>OK</t>
        </is>
      </c>
      <c r="U22" s="30" t="inlineStr">
        <is>
          <t>OK</t>
        </is>
      </c>
      <c r="V22" s="30" t="inlineStr">
        <is>
          <t>OK</t>
        </is>
      </c>
      <c r="W22" s="30" t="n"/>
      <c r="X22" s="30" t="n"/>
      <c r="Y22" s="30" t="inlineStr">
        <is>
          <t>OK</t>
        </is>
      </c>
      <c r="Z22" s="30" t="inlineStr">
        <is>
          <t>OK</t>
        </is>
      </c>
      <c r="AA22" s="30" t="n"/>
      <c r="AB22" s="29">
        <f>COUNTA($C22:$AA22)</f>
        <v/>
      </c>
      <c r="AC22" s="29">
        <f>COUNTIF($C22:$AA22,"OK")</f>
        <v/>
      </c>
      <c r="AD22" s="30" t="inlineStr"/>
      <c r="AE22" s="30" t="inlineStr"/>
      <c r="AF22" s="30" t="inlineStr"/>
      <c r="AG22" s="30" t="inlineStr"/>
      <c r="AH22" s="30" t="inlineStr"/>
    </row>
    <row r="23">
      <c r="A23" s="10" t="inlineStr">
        <is>
          <t>Primary Coding</t>
        </is>
      </c>
      <c r="B23" s="8" t="inlineStr">
        <is>
          <t>Startup &amp; Every 30 Min</t>
        </is>
      </c>
      <c r="C23" s="12" t="n"/>
      <c r="D23" s="12" t="n"/>
      <c r="E23" s="12" t="inlineStr">
        <is>
          <t>OK</t>
        </is>
      </c>
      <c r="F23" s="12" t="inlineStr">
        <is>
          <t>OK</t>
        </is>
      </c>
      <c r="G23" s="12" t="inlineStr">
        <is>
          <t>OK</t>
        </is>
      </c>
      <c r="H23" s="12" t="inlineStr">
        <is>
          <t>OK</t>
        </is>
      </c>
      <c r="I23" s="12" t="inlineStr">
        <is>
          <t>OK</t>
        </is>
      </c>
      <c r="J23" s="12" t="inlineStr">
        <is>
          <t>OK</t>
        </is>
      </c>
      <c r="K23" s="12" t="inlineStr">
        <is>
          <t>OK</t>
        </is>
      </c>
      <c r="L23" s="12" t="inlineStr">
        <is>
          <t>OK</t>
        </is>
      </c>
      <c r="M23" s="12" t="inlineStr">
        <is>
          <t>OK</t>
        </is>
      </c>
      <c r="N23" s="12" t="inlineStr">
        <is>
          <t>OK</t>
        </is>
      </c>
      <c r="O23" s="12" t="inlineStr">
        <is>
          <t>OK</t>
        </is>
      </c>
      <c r="P23" s="12" t="inlineStr">
        <is>
          <t>OK</t>
        </is>
      </c>
      <c r="Q23" s="12" t="inlineStr">
        <is>
          <t>OK</t>
        </is>
      </c>
      <c r="R23" s="12" t="inlineStr">
        <is>
          <t>OK</t>
        </is>
      </c>
      <c r="S23" s="12" t="inlineStr">
        <is>
          <t>OK</t>
        </is>
      </c>
      <c r="T23" s="12" t="inlineStr">
        <is>
          <t>OK</t>
        </is>
      </c>
      <c r="U23" s="12" t="inlineStr">
        <is>
          <t>OK</t>
        </is>
      </c>
      <c r="V23" s="12" t="inlineStr">
        <is>
          <t>OK</t>
        </is>
      </c>
      <c r="W23" s="12" t="n"/>
      <c r="X23" s="12" t="n"/>
      <c r="Y23" s="12" t="inlineStr">
        <is>
          <t>OK</t>
        </is>
      </c>
      <c r="Z23" s="12" t="inlineStr">
        <is>
          <t>OK</t>
        </is>
      </c>
      <c r="AA23" s="12" t="n"/>
      <c r="AB23" s="24">
        <f>COUNTA($C23:$AA23)</f>
        <v/>
      </c>
      <c r="AC23" s="24">
        <f>COUNTIF($C23:$AA23,"OK")</f>
        <v/>
      </c>
      <c r="AD23" s="12" t="inlineStr"/>
      <c r="AE23" s="12" t="inlineStr"/>
      <c r="AF23" s="12" t="inlineStr"/>
      <c r="AG23" s="12" t="inlineStr"/>
      <c r="AH23" s="12" t="inlineStr"/>
    </row>
    <row r="24">
      <c r="A24" s="26" t="inlineStr">
        <is>
          <t>Shrink packing Quality</t>
        </is>
      </c>
      <c r="B24" s="27" t="inlineStr">
        <is>
          <t>Startup &amp; Every Hour</t>
        </is>
      </c>
      <c r="C24" s="30" t="n"/>
      <c r="D24" s="30" t="n"/>
      <c r="E24" s="30" t="inlineStr">
        <is>
          <t>OK</t>
        </is>
      </c>
      <c r="F24" s="30" t="inlineStr">
        <is>
          <t>OK</t>
        </is>
      </c>
      <c r="G24" s="30" t="inlineStr">
        <is>
          <t>OK</t>
        </is>
      </c>
      <c r="H24" s="30" t="inlineStr">
        <is>
          <t>OK</t>
        </is>
      </c>
      <c r="I24" s="30" t="inlineStr">
        <is>
          <t>OK</t>
        </is>
      </c>
      <c r="J24" s="30" t="inlineStr">
        <is>
          <t>OK</t>
        </is>
      </c>
      <c r="K24" s="30" t="inlineStr">
        <is>
          <t>OK</t>
        </is>
      </c>
      <c r="L24" s="30" t="inlineStr">
        <is>
          <t>OK</t>
        </is>
      </c>
      <c r="M24" s="30" t="inlineStr">
        <is>
          <t>OK</t>
        </is>
      </c>
      <c r="N24" s="30" t="inlineStr">
        <is>
          <t>OK</t>
        </is>
      </c>
      <c r="O24" s="30" t="inlineStr">
        <is>
          <t>OK</t>
        </is>
      </c>
      <c r="P24" s="30" t="inlineStr">
        <is>
          <t>OK</t>
        </is>
      </c>
      <c r="Q24" s="30" t="inlineStr">
        <is>
          <t>OK</t>
        </is>
      </c>
      <c r="R24" s="30" t="inlineStr">
        <is>
          <t>OK</t>
        </is>
      </c>
      <c r="S24" s="30" t="inlineStr">
        <is>
          <t>OK</t>
        </is>
      </c>
      <c r="T24" s="30" t="inlineStr">
        <is>
          <t>OK</t>
        </is>
      </c>
      <c r="U24" s="30" t="inlineStr">
        <is>
          <t>OK</t>
        </is>
      </c>
      <c r="V24" s="30" t="inlineStr">
        <is>
          <t>OK</t>
        </is>
      </c>
      <c r="W24" s="30" t="n"/>
      <c r="X24" s="30" t="n"/>
      <c r="Y24" s="30" t="inlineStr">
        <is>
          <t>OK</t>
        </is>
      </c>
      <c r="Z24" s="30" t="inlineStr">
        <is>
          <t>OK</t>
        </is>
      </c>
      <c r="AA24" s="30" t="n"/>
      <c r="AB24" s="29">
        <f>COUNTA($C24:$AA24)</f>
        <v/>
      </c>
      <c r="AC24" s="29">
        <f>COUNTIF($C24:$AA24,"OK")</f>
        <v/>
      </c>
      <c r="AD24" s="30" t="inlineStr"/>
      <c r="AE24" s="30" t="inlineStr"/>
      <c r="AF24" s="30" t="inlineStr"/>
      <c r="AG24" s="30" t="inlineStr"/>
      <c r="AH24" s="30" t="inlineStr"/>
    </row>
    <row r="25">
      <c r="A25" s="10" t="inlineStr">
        <is>
          <t>Torque</t>
        </is>
      </c>
      <c r="B25" s="8" t="inlineStr">
        <is>
          <t>All Capper Heads Start Up &amp; Every 2 Hours</t>
        </is>
      </c>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24">
        <f>COUNTA($C25:$AA25)</f>
        <v/>
      </c>
      <c r="AC25" s="24">
        <f>COUNTIF($C25:$AA25,"OK")</f>
        <v/>
      </c>
      <c r="AD25" s="12" t="inlineStr"/>
      <c r="AE25" s="12" t="inlineStr"/>
      <c r="AF25" s="12" t="inlineStr"/>
      <c r="AG25" s="12" t="inlineStr"/>
      <c r="AH25" s="12" t="inlineStr"/>
    </row>
    <row r="26">
      <c r="A26" s="26" t="inlineStr">
        <is>
          <t>Closure Lot No.</t>
        </is>
      </c>
      <c r="B26" s="27" t="inlineStr"/>
      <c r="C26" s="30" t="n"/>
      <c r="D26" s="30" t="n"/>
      <c r="E26" s="3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c r="AA26" s="30" t="n"/>
      <c r="AB26" s="29">
        <f>COUNTA($C26:$AA26)</f>
        <v/>
      </c>
      <c r="AC26" s="29">
        <f>COUNTIF($C26:$AA26,"OK")</f>
        <v/>
      </c>
      <c r="AD26" s="30" t="inlineStr"/>
      <c r="AE26" s="30" t="inlineStr"/>
      <c r="AF26" s="30" t="inlineStr"/>
      <c r="AG26" s="30" t="inlineStr"/>
      <c r="AH26" s="30" t="inlineStr"/>
    </row>
    <row r="27">
      <c r="A27" s="10" t="inlineStr">
        <is>
          <t>Label Lot No.</t>
        </is>
      </c>
      <c r="B27" s="8" t="inlineStr"/>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24">
        <f>COUNTA($C27:$AA27)</f>
        <v/>
      </c>
      <c r="AC27" s="24">
        <f>COUNTIF($C27:$AA27,"OK")</f>
        <v/>
      </c>
      <c r="AD27" s="12" t="inlineStr"/>
      <c r="AE27" s="12" t="inlineStr"/>
      <c r="AF27" s="12" t="inlineStr"/>
      <c r="AG27" s="12" t="inlineStr"/>
      <c r="AH27" s="12" t="inlineStr"/>
    </row>
    <row r="28">
      <c r="A28" s="26" t="inlineStr">
        <is>
          <t>Preform Lot No.</t>
        </is>
      </c>
      <c r="B28" s="27" t="inlineStr"/>
      <c r="C28" s="30" t="n"/>
      <c r="D28" s="30" t="n"/>
      <c r="E28" s="3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c r="AA28" s="30" t="n"/>
      <c r="AB28" s="29">
        <f>COUNTA($C28:$AA28)</f>
        <v/>
      </c>
      <c r="AC28" s="29">
        <f>COUNTIF($C28:$AA28,"OK")</f>
        <v/>
      </c>
      <c r="AD28" s="30" t="inlineStr"/>
      <c r="AE28" s="30" t="inlineStr"/>
      <c r="AF28" s="30" t="inlineStr"/>
      <c r="AG28" s="30" t="inlineStr"/>
      <c r="AH28" s="30" t="inlineStr"/>
    </row>
    <row r="29">
      <c r="A29" s="33" t="inlineStr">
        <is>
          <t>Parameters filled in this column</t>
        </is>
      </c>
      <c r="B29" s="34" t="inlineStr">
        <is>
          <t>(live count)</t>
        </is>
      </c>
      <c r="C29" s="35">
        <f>COUNTA(C11:C28)</f>
        <v/>
      </c>
      <c r="D29" s="35">
        <f>COUNTA(D11:D28)</f>
        <v/>
      </c>
      <c r="E29" s="35">
        <f>COUNTA(E11:E28)</f>
        <v/>
      </c>
      <c r="F29" s="35">
        <f>COUNTA(F11:F28)</f>
        <v/>
      </c>
      <c r="G29" s="35">
        <f>COUNTA(G11:G28)</f>
        <v/>
      </c>
      <c r="H29" s="35">
        <f>COUNTA(H11:H28)</f>
        <v/>
      </c>
      <c r="I29" s="35">
        <f>COUNTA(I11:I28)</f>
        <v/>
      </c>
      <c r="J29" s="35">
        <f>COUNTA(J11:J28)</f>
        <v/>
      </c>
      <c r="K29" s="35">
        <f>COUNTA(K11:K28)</f>
        <v/>
      </c>
      <c r="L29" s="35">
        <f>COUNTA(L11:L28)</f>
        <v/>
      </c>
      <c r="M29" s="35">
        <f>COUNTA(M11:M28)</f>
        <v/>
      </c>
      <c r="N29" s="35">
        <f>COUNTA(N11:N28)</f>
        <v/>
      </c>
      <c r="O29" s="35">
        <f>COUNTA(O11:O28)</f>
        <v/>
      </c>
      <c r="P29" s="35">
        <f>COUNTA(P11:P28)</f>
        <v/>
      </c>
      <c r="Q29" s="35">
        <f>COUNTA(Q11:Q28)</f>
        <v/>
      </c>
      <c r="R29" s="35">
        <f>COUNTA(R11:R28)</f>
        <v/>
      </c>
      <c r="S29" s="35">
        <f>COUNTA(S11:S28)</f>
        <v/>
      </c>
      <c r="T29" s="35">
        <f>COUNTA(T11:T28)</f>
        <v/>
      </c>
      <c r="U29" s="35">
        <f>COUNTA(U11:U28)</f>
        <v/>
      </c>
      <c r="V29" s="35">
        <f>COUNTA(V11:V28)</f>
        <v/>
      </c>
      <c r="W29" s="35">
        <f>COUNTA(W11:W28)</f>
        <v/>
      </c>
      <c r="X29" s="35">
        <f>COUNTA(X11:X28)</f>
        <v/>
      </c>
      <c r="Y29" s="35">
        <f>COUNTA(Y11:Y28)</f>
        <v/>
      </c>
      <c r="Z29" s="35">
        <f>COUNTA(Z11:Z28)</f>
        <v/>
      </c>
      <c r="AA29" s="35">
        <f>COUNTA(AA11:AA28)</f>
        <v/>
      </c>
      <c r="AB29" s="36">
        <f>SUM(C29:AA29)</f>
        <v/>
      </c>
      <c r="AC29" s="35" t="inlineStr"/>
      <c r="AD29" s="35" t="inlineStr"/>
      <c r="AE29" s="35" t="inlineStr"/>
      <c r="AF29" s="35" t="inlineStr"/>
      <c r="AG29" s="36">
        <f>SUM(AG11:AG28)</f>
        <v/>
      </c>
      <c r="AH29" s="36">
        <f>SUM(AH11:AH28)</f>
        <v/>
      </c>
    </row>
    <row r="31" ht="18" customHeight="1">
      <c r="A31" s="3" t="inlineStr">
        <is>
          <t>Annotations written on the form</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row>
    <row r="32">
      <c r="A32" s="9" t="inlineStr">
        <is>
          <t>Where</t>
        </is>
      </c>
      <c r="B32" s="37" t="inlineStr">
        <is>
          <t>What the chemist wrote</t>
        </is>
      </c>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c r="AA32" s="38" t="n"/>
      <c r="AB32" s="38" t="n"/>
      <c r="AC32" s="38" t="n"/>
      <c r="AD32" s="38" t="n"/>
      <c r="AE32" s="38" t="n"/>
      <c r="AF32" s="38" t="n"/>
      <c r="AG32" s="38" t="n"/>
      <c r="AH32" s="38" t="n"/>
    </row>
    <row r="33" ht="30" customHeight="1">
      <c r="A33" s="18" t="inlineStr">
        <is>
          <t>Time column, spanning the sheet</t>
        </is>
      </c>
      <c r="B33" s="17" t="inlineStr">
        <is>
          <t>Vertical note: "Filler Start 8:38 AM", with arrows spanning the full column height.</t>
        </is>
      </c>
    </row>
    <row r="35">
      <c r="A35" s="6" t="inlineStr">
        <is>
          <t>Remark (as written on form)</t>
        </is>
      </c>
      <c r="B35" s="17" t="inlineStr">
        <is>
          <t>(left blank on the form)</t>
        </is>
      </c>
    </row>
    <row r="36">
      <c r="A36" s="6" t="inlineStr">
        <is>
          <t>QC Chemist</t>
        </is>
      </c>
      <c r="B36" s="11" t="inlineStr">
        <is>
          <t>Pammee Singh</t>
        </is>
      </c>
      <c r="E36" s="6" t="inlineStr">
        <is>
          <t>QC Manager</t>
        </is>
      </c>
      <c r="F36" s="19" t="n"/>
      <c r="G36" s="19" t="n"/>
      <c r="H36" s="19" t="n"/>
      <c r="I36" s="11" t="inlineStr">
        <is>
          <t>(initialled)</t>
        </is>
      </c>
      <c r="J36" s="13" t="n"/>
      <c r="K36" s="13" t="n"/>
      <c r="L36" s="13" t="n"/>
    </row>
    <row r="38" ht="18" customHeight="1">
      <c r="A38" s="3" t="inlineStr">
        <is>
          <t>Notes on this sheet</t>
        </is>
      </c>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row>
    <row r="39" ht="26" customHeight="1">
      <c r="A39" s="8" t="inlineStr">
        <is>
          <t>•  Blank cell = left blank on the paper form.   – = a dash was written (the test was not due at that interval).   OK = written as OK.</t>
        </is>
      </c>
    </row>
    <row r="40" ht="26" customHeight="1">
      <c r="A40" s="8" t="inlineStr">
        <is>
          <t>•  The 24-hour row under the printed times is our addition; the form prints 12-hour times with no am/pm marker.</t>
        </is>
      </c>
    </row>
    <row r="41" ht="26" customHeight="1">
      <c r="A41" s="8" t="inlineStr">
        <is>
          <t>•  Entries / OK count / Min / Max / Average / pair columns are live formulas over the time columns to their left - correct any reading and they re-derive.</t>
        </is>
      </c>
    </row>
    <row r="42" ht="26" customHeight="1">
      <c r="A42" s="8" t="inlineStr">
        <is>
          <t>•  “:00/:30 pairs” counts the paired readings actually written; “Pairs differing” counts pairs whose two halves are not identical. That is the accuracy check for this form, which carries no arithmetic column.</t>
        </is>
      </c>
    </row>
    <row r="43" ht="26" customHeight="1">
      <c r="A43" s="8" t="inlineStr">
        <is>
          <t>•  Cells carrying a red figure have a comment attached explaining the ambiguity or source anomaly.</t>
        </is>
      </c>
    </row>
    <row r="44" ht="26" customHeight="1">
      <c r="A44" s="8" t="inlineStr">
        <is>
          <t>•  FLAGGED - Temperature at 02:30: The only :00/:30 pair on this sheet whose two halves differ. Both digits are clearly legible; reproduced as printed rather than harmonised. Worth a check against the original.</t>
        </is>
      </c>
    </row>
  </sheetData>
  <mergeCells count="23">
    <mergeCell ref="A2:AH2"/>
    <mergeCell ref="A42:AH42"/>
    <mergeCell ref="E5:I5"/>
    <mergeCell ref="E4:I4"/>
    <mergeCell ref="A43:AH43"/>
    <mergeCell ref="A38:AH38"/>
    <mergeCell ref="A44:AH44"/>
    <mergeCell ref="A31:AH31"/>
    <mergeCell ref="J5:M5"/>
    <mergeCell ref="A40:AH40"/>
    <mergeCell ref="I36:L36"/>
    <mergeCell ref="A39:AH39"/>
    <mergeCell ref="E6:I6"/>
    <mergeCell ref="B33:AH33"/>
    <mergeCell ref="A1:AH1"/>
    <mergeCell ref="J6:M6"/>
    <mergeCell ref="B32:AH32"/>
    <mergeCell ref="E7:I7"/>
    <mergeCell ref="B35:AH35"/>
    <mergeCell ref="J4:M4"/>
    <mergeCell ref="A41:AH41"/>
    <mergeCell ref="J7:M7"/>
    <mergeCell ref="E36:H36"/>
  </mergeCells>
  <conditionalFormatting sqref="AH11:AH29">
    <cfRule type="cellIs" priority="1" operator="greaterThan" dxfId="0">
      <formula>0</formula>
    </cfRule>
  </conditionalFormatting>
  <printOptions horizontalCentered="1"/>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2E5496"/>
    <outlinePr summaryBelow="1" summaryRight="1"/>
    <pageSetUpPr fitToPage="1"/>
  </sheetPr>
  <dimension ref="A1:AH47"/>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7.6" customWidth="1" min="3" max="3"/>
    <col width="7.6" customWidth="1" min="4" max="4"/>
    <col width="7.6" customWidth="1" min="5" max="5"/>
    <col width="7.6" customWidth="1" min="6" max="6"/>
    <col width="7.6" customWidth="1" min="7" max="7"/>
    <col width="7.6" customWidth="1" min="8" max="8"/>
    <col width="7.6" customWidth="1" min="9" max="9"/>
    <col width="7.6" customWidth="1" min="10" max="10"/>
    <col width="7.6" customWidth="1" min="11" max="11"/>
    <col width="7.6" customWidth="1" min="12" max="12"/>
    <col width="7.6" customWidth="1" min="13" max="13"/>
    <col width="7.6" customWidth="1" min="14" max="14"/>
    <col width="7.6" customWidth="1" min="15" max="15"/>
    <col width="7.6" customWidth="1" min="16" max="16"/>
    <col width="7.6" customWidth="1" min="17" max="17"/>
    <col width="7.6" customWidth="1" min="18" max="18"/>
    <col width="7.6" customWidth="1" min="19" max="19"/>
    <col width="7.6" customWidth="1" min="20" max="20"/>
    <col width="7.6" customWidth="1" min="21" max="21"/>
    <col width="7.6" customWidth="1" min="22" max="22"/>
    <col width="7.6" customWidth="1" min="23" max="23"/>
    <col width="7.6" customWidth="1" min="24" max="24"/>
    <col width="7.6" customWidth="1" min="25" max="25"/>
    <col width="7.6" customWidth="1" min="26" max="26"/>
    <col width="7.6"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s>
  <sheetData>
    <row r="1" ht="24" customHeight="1">
      <c r="A1" s="1" t="inlineStr">
        <is>
          <t>CSD PET ONLINE RECORD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row>
    <row r="2" ht="18" customHeight="1">
      <c r="A2" s="3" t="inlineStr">
        <is>
          <t>Doc No.: CSD-PET-FRM-03    |    transcribed from Photo 5 (PDF page 5)</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4">
      <c r="A4" s="6" t="inlineStr">
        <is>
          <t>Date</t>
        </is>
      </c>
      <c r="B4" s="11" t="inlineStr">
        <is>
          <t>19/08/26</t>
        </is>
      </c>
      <c r="E4" s="6" t="inlineStr">
        <is>
          <t>Finished Syrup B.No.</t>
        </is>
      </c>
      <c r="F4" s="19" t="n"/>
      <c r="G4" s="19" t="n"/>
      <c r="H4" s="19" t="n"/>
      <c r="I4" s="19" t="n"/>
      <c r="J4" s="20" t="inlineStr">
        <is>
          <t>(blank on form)</t>
        </is>
      </c>
      <c r="K4" s="13" t="n"/>
      <c r="L4" s="13" t="n"/>
      <c r="M4" s="13" t="n"/>
    </row>
    <row r="5">
      <c r="A5" s="6" t="inlineStr">
        <is>
          <t>Product</t>
        </is>
      </c>
      <c r="B5" s="11" t="inlineStr">
        <is>
          <t>MC2 Original 250 ml</t>
        </is>
      </c>
      <c r="E5" s="6" t="inlineStr">
        <is>
          <t>Control Drink As is Brix</t>
        </is>
      </c>
      <c r="F5" s="19" t="n"/>
      <c r="G5" s="19" t="n"/>
      <c r="H5" s="19" t="n"/>
      <c r="I5" s="19" t="n"/>
      <c r="J5" s="20" t="inlineStr">
        <is>
          <t>(blank on form)</t>
        </is>
      </c>
      <c r="K5" s="13" t="n"/>
      <c r="L5" s="13" t="n"/>
      <c r="M5" s="13" t="n"/>
    </row>
    <row r="6">
      <c r="A6" s="6" t="inlineStr">
        <is>
          <t>Chemist</t>
        </is>
      </c>
      <c r="B6" s="11" t="inlineStr">
        <is>
          <t>Aafreen</t>
        </is>
      </c>
      <c r="E6" s="6" t="inlineStr">
        <is>
          <t>Control Drink Invert Brix</t>
        </is>
      </c>
      <c r="F6" s="19" t="n"/>
      <c r="G6" s="19" t="n"/>
      <c r="H6" s="19" t="n"/>
      <c r="I6" s="19" t="n"/>
      <c r="J6" s="20" t="inlineStr">
        <is>
          <t>(blank on form)</t>
        </is>
      </c>
      <c r="K6" s="13" t="n"/>
      <c r="L6" s="13" t="n"/>
      <c r="M6" s="13" t="n"/>
    </row>
    <row r="7">
      <c r="A7" s="6" t="inlineStr">
        <is>
          <t>Shift</t>
        </is>
      </c>
      <c r="B7" s="11" t="inlineStr">
        <is>
          <t>Day</t>
        </is>
      </c>
      <c r="E7" s="6" t="inlineStr">
        <is>
          <t>Control Drink % Acidity</t>
        </is>
      </c>
      <c r="F7" s="19" t="n"/>
      <c r="G7" s="19" t="n"/>
      <c r="H7" s="19" t="n"/>
      <c r="I7" s="19" t="n"/>
      <c r="J7" s="20" t="inlineStr">
        <is>
          <t>(blank on form)</t>
        </is>
      </c>
      <c r="K7" s="13" t="n"/>
      <c r="L7" s="13" t="n"/>
      <c r="M7" s="13" t="n"/>
    </row>
    <row r="9">
      <c r="A9" s="9" t="inlineStr">
        <is>
          <t>Parameter</t>
        </is>
      </c>
      <c r="B9" s="9" t="inlineStr">
        <is>
          <t>Frequency</t>
        </is>
      </c>
      <c r="C9" s="9" t="inlineStr">
        <is>
          <t>08:00</t>
        </is>
      </c>
      <c r="D9" s="9" t="inlineStr">
        <is>
          <t>08:30</t>
        </is>
      </c>
      <c r="E9" s="9" t="inlineStr">
        <is>
          <t>09:00</t>
        </is>
      </c>
      <c r="F9" s="9" t="inlineStr">
        <is>
          <t>09:30</t>
        </is>
      </c>
      <c r="G9" s="9" t="inlineStr">
        <is>
          <t>10:00</t>
        </is>
      </c>
      <c r="H9" s="9" t="inlineStr">
        <is>
          <t>10:30</t>
        </is>
      </c>
      <c r="I9" s="9" t="inlineStr">
        <is>
          <t>11:00</t>
        </is>
      </c>
      <c r="J9" s="9" t="inlineStr">
        <is>
          <t>11:30</t>
        </is>
      </c>
      <c r="K9" s="9" t="inlineStr">
        <is>
          <t>12:00</t>
        </is>
      </c>
      <c r="L9" s="9" t="inlineStr">
        <is>
          <t>12:30</t>
        </is>
      </c>
      <c r="M9" s="9" t="inlineStr">
        <is>
          <t>01:00</t>
        </is>
      </c>
      <c r="N9" s="9" t="inlineStr">
        <is>
          <t>01:30</t>
        </is>
      </c>
      <c r="O9" s="9" t="inlineStr">
        <is>
          <t>02:00</t>
        </is>
      </c>
      <c r="P9" s="9" t="inlineStr">
        <is>
          <t>02:30</t>
        </is>
      </c>
      <c r="Q9" s="9" t="inlineStr">
        <is>
          <t>03:00</t>
        </is>
      </c>
      <c r="R9" s="9" t="inlineStr">
        <is>
          <t>03:30</t>
        </is>
      </c>
      <c r="S9" s="9" t="inlineStr">
        <is>
          <t>04:00</t>
        </is>
      </c>
      <c r="T9" s="9" t="inlineStr">
        <is>
          <t>04:30</t>
        </is>
      </c>
      <c r="U9" s="9" t="inlineStr">
        <is>
          <t>05:00</t>
        </is>
      </c>
      <c r="V9" s="9" t="inlineStr">
        <is>
          <t>05:30</t>
        </is>
      </c>
      <c r="W9" s="9" t="inlineStr">
        <is>
          <t>06:00</t>
        </is>
      </c>
      <c r="X9" s="9" t="inlineStr">
        <is>
          <t>06:30</t>
        </is>
      </c>
      <c r="Y9" s="9" t="inlineStr">
        <is>
          <t>07:00</t>
        </is>
      </c>
      <c r="Z9" s="9" t="inlineStr">
        <is>
          <t>07:30</t>
        </is>
      </c>
      <c r="AA9" s="9" t="inlineStr">
        <is>
          <t>08:00</t>
        </is>
      </c>
      <c r="AB9" s="9" t="inlineStr">
        <is>
          <t>Entries</t>
        </is>
      </c>
      <c r="AC9" s="9" t="inlineStr">
        <is>
          <t>OK count</t>
        </is>
      </c>
      <c r="AD9" s="9" t="inlineStr">
        <is>
          <t>Min</t>
        </is>
      </c>
      <c r="AE9" s="9" t="inlineStr">
        <is>
          <t>Max</t>
        </is>
      </c>
      <c r="AF9" s="9" t="inlineStr">
        <is>
          <t>Average</t>
        </is>
      </c>
      <c r="AG9" s="9" t="inlineStr">
        <is>
          <t>:00/:30 pairs</t>
        </is>
      </c>
      <c r="AH9" s="9" t="inlineStr">
        <is>
          <t>Pairs differing</t>
        </is>
      </c>
    </row>
    <row r="10">
      <c r="A10" s="21" t="inlineStr">
        <is>
          <t>24-hour equivalent →</t>
        </is>
      </c>
      <c r="B10" s="22" t="inlineStr"/>
      <c r="C10" s="22" t="inlineStr">
        <is>
          <t>08:00</t>
        </is>
      </c>
      <c r="D10" s="22" t="inlineStr">
        <is>
          <t>08:30</t>
        </is>
      </c>
      <c r="E10" s="22" t="inlineStr">
        <is>
          <t>09:00</t>
        </is>
      </c>
      <c r="F10" s="22" t="inlineStr">
        <is>
          <t>09:30</t>
        </is>
      </c>
      <c r="G10" s="22" t="inlineStr">
        <is>
          <t>10:00</t>
        </is>
      </c>
      <c r="H10" s="22" t="inlineStr">
        <is>
          <t>10:30</t>
        </is>
      </c>
      <c r="I10" s="22" t="inlineStr">
        <is>
          <t>11:00</t>
        </is>
      </c>
      <c r="J10" s="22" t="inlineStr">
        <is>
          <t>11:30</t>
        </is>
      </c>
      <c r="K10" s="22" t="inlineStr">
        <is>
          <t>12:00</t>
        </is>
      </c>
      <c r="L10" s="22" t="inlineStr">
        <is>
          <t>12:30</t>
        </is>
      </c>
      <c r="M10" s="22" t="inlineStr">
        <is>
          <t>13:00</t>
        </is>
      </c>
      <c r="N10" s="22" t="inlineStr">
        <is>
          <t>13:30</t>
        </is>
      </c>
      <c r="O10" s="22" t="inlineStr">
        <is>
          <t>14:00</t>
        </is>
      </c>
      <c r="P10" s="22" t="inlineStr">
        <is>
          <t>14:30</t>
        </is>
      </c>
      <c r="Q10" s="22" t="inlineStr">
        <is>
          <t>15:00</t>
        </is>
      </c>
      <c r="R10" s="22" t="inlineStr">
        <is>
          <t>15:30</t>
        </is>
      </c>
      <c r="S10" s="22" t="inlineStr">
        <is>
          <t>16:00</t>
        </is>
      </c>
      <c r="T10" s="22" t="inlineStr">
        <is>
          <t>16:30</t>
        </is>
      </c>
      <c r="U10" s="22" t="inlineStr">
        <is>
          <t>17:00</t>
        </is>
      </c>
      <c r="V10" s="22" t="inlineStr">
        <is>
          <t>17:30</t>
        </is>
      </c>
      <c r="W10" s="22" t="inlineStr">
        <is>
          <t>18:00</t>
        </is>
      </c>
      <c r="X10" s="22" t="inlineStr">
        <is>
          <t>18:30</t>
        </is>
      </c>
      <c r="Y10" s="22" t="inlineStr">
        <is>
          <t>19:00</t>
        </is>
      </c>
      <c r="Z10" s="22" t="inlineStr">
        <is>
          <t>19:30</t>
        </is>
      </c>
      <c r="AA10" s="22" t="inlineStr">
        <is>
          <t>20:00</t>
        </is>
      </c>
      <c r="AB10" s="22" t="inlineStr"/>
      <c r="AC10" s="22" t="inlineStr"/>
      <c r="AD10" s="22" t="inlineStr"/>
      <c r="AE10" s="22" t="inlineStr"/>
      <c r="AF10" s="22" t="inlineStr"/>
      <c r="AG10" s="22" t="inlineStr"/>
      <c r="AH10" s="22" t="inlineStr"/>
    </row>
    <row r="11">
      <c r="A11" s="10" t="inlineStr">
        <is>
          <t>As is brix (Bev.)</t>
        </is>
      </c>
      <c r="B11" s="8" t="inlineStr">
        <is>
          <t>Startup &amp; Every 30 Min</t>
        </is>
      </c>
      <c r="C11" s="23" t="n"/>
      <c r="D11" s="23" t="n"/>
      <c r="E11" s="23" t="n">
        <v>10.96</v>
      </c>
      <c r="F11" s="23" t="n">
        <v>10.96</v>
      </c>
      <c r="G11" s="23" t="n">
        <v>11.18</v>
      </c>
      <c r="H11" s="23" t="n">
        <v>11.18</v>
      </c>
      <c r="I11" s="23" t="n"/>
      <c r="J11" s="23" t="n"/>
      <c r="K11" s="23" t="n">
        <v>11.07</v>
      </c>
      <c r="L11" s="23" t="n">
        <v>11.07</v>
      </c>
      <c r="M11" s="23" t="n"/>
      <c r="N11" s="23" t="n"/>
      <c r="O11" s="23" t="n">
        <v>11.12</v>
      </c>
      <c r="P11" s="23" t="n">
        <v>11.12</v>
      </c>
      <c r="Q11" s="23" t="n">
        <v>11.02</v>
      </c>
      <c r="R11" s="23" t="n">
        <v>11.02</v>
      </c>
      <c r="S11" s="23" t="n">
        <v>11.17</v>
      </c>
      <c r="T11" s="23" t="n">
        <v>11.17</v>
      </c>
      <c r="U11" s="23" t="n">
        <v>11.03</v>
      </c>
      <c r="V11" s="23" t="n">
        <v>11.03</v>
      </c>
      <c r="W11" s="23" t="n">
        <v>10.92</v>
      </c>
      <c r="X11" s="23" t="n">
        <v>10.92</v>
      </c>
      <c r="Y11" s="23" t="n">
        <v>10.98</v>
      </c>
      <c r="Z11" s="23" t="n">
        <v>10.98</v>
      </c>
      <c r="AA11" s="23" t="n"/>
      <c r="AB11" s="24">
        <f>COUNT($C11:$AA11)</f>
        <v/>
      </c>
      <c r="AC11" s="12" t="inlineStr"/>
      <c r="AD11" s="25">
        <f>IF(COUNT($C11:$AA11)=0,"",MIN($C11:$AA11))</f>
        <v/>
      </c>
      <c r="AE11" s="25">
        <f>IF(COUNT($C11:$AA11)=0,"",MAX($C11:$AA11))</f>
        <v/>
      </c>
      <c r="AF11" s="25">
        <f>IF(COUNT($C11:$AA11)=0,"",AVERAGE($C11:$AA11))</f>
        <v/>
      </c>
      <c r="AG11" s="24">
        <f>SUMPRODUCT((MOD(COLUMN($C11:$Z11)-COLUMN($C$1),2)=0)*($C11:$Z11&lt;&gt;"")*($D11:$AA11&lt;&gt;""))</f>
        <v/>
      </c>
      <c r="AH11" s="24">
        <f>SUMPRODUCT((MOD(COLUMN($C11:$Z11)-COLUMN($C$1),2)=0)*($C11:$Z11&lt;&gt;"")*($D11:$AA11&lt;&gt;"")*($C11:$Z11&lt;&gt;$D11:$AA11))</f>
        <v/>
      </c>
    </row>
    <row r="12">
      <c r="A12" s="26" t="inlineStr">
        <is>
          <t>% Acidity</t>
        </is>
      </c>
      <c r="B12" s="27" t="inlineStr">
        <is>
          <t>startup &amp; Every hrs</t>
        </is>
      </c>
      <c r="C12" s="28" t="n"/>
      <c r="D12" s="28" t="n"/>
      <c r="E12" s="28" t="n">
        <v>0.7</v>
      </c>
      <c r="F12" s="28" t="n">
        <v>0.7</v>
      </c>
      <c r="G12" s="28" t="n">
        <v>0.7</v>
      </c>
      <c r="H12" s="28" t="n">
        <v>0.7</v>
      </c>
      <c r="I12" s="28" t="n"/>
      <c r="J12" s="28" t="n"/>
      <c r="K12" s="28" t="n">
        <v>0.7</v>
      </c>
      <c r="L12" s="28" t="n">
        <v>0.7</v>
      </c>
      <c r="M12" s="28" t="n"/>
      <c r="N12" s="28" t="n"/>
      <c r="O12" s="28" t="n">
        <v>0.68</v>
      </c>
      <c r="P12" s="28" t="n">
        <v>0.68</v>
      </c>
      <c r="Q12" s="28" t="n">
        <v>0.7</v>
      </c>
      <c r="R12" s="28" t="n">
        <v>0.7</v>
      </c>
      <c r="S12" s="28" t="n">
        <v>0.7</v>
      </c>
      <c r="T12" s="28" t="n">
        <v>0.7</v>
      </c>
      <c r="U12" s="28" t="n">
        <v>0.7</v>
      </c>
      <c r="V12" s="28" t="n">
        <v>0.7</v>
      </c>
      <c r="W12" s="28" t="n">
        <v>0.7</v>
      </c>
      <c r="X12" s="28" t="n">
        <v>0.7</v>
      </c>
      <c r="Y12" s="28" t="n">
        <v>0.7</v>
      </c>
      <c r="Z12" s="28" t="n">
        <v>0.7</v>
      </c>
      <c r="AA12" s="28" t="n"/>
      <c r="AB12" s="29">
        <f>COUNT($C12:$AA12)</f>
        <v/>
      </c>
      <c r="AC12" s="30" t="inlineStr"/>
      <c r="AD12" s="31">
        <f>IF(COUNT($C12:$AA12)=0,"",MIN($C12:$AA12))</f>
        <v/>
      </c>
      <c r="AE12" s="31">
        <f>IF(COUNT($C12:$AA12)=0,"",MAX($C12:$AA12))</f>
        <v/>
      </c>
      <c r="AF12" s="31">
        <f>IF(COUNT($C12:$AA12)=0,"",AVERAGE($C12:$AA12))</f>
        <v/>
      </c>
      <c r="AG12" s="29">
        <f>SUMPRODUCT((MOD(COLUMN($C12:$Z12)-COLUMN($C$1),2)=0)*($C12:$Z12&lt;&gt;"")*($D12:$AA12&lt;&gt;""))</f>
        <v/>
      </c>
      <c r="AH12" s="29">
        <f>SUMPRODUCT((MOD(COLUMN($C12:$Z12)-COLUMN($C$1),2)=0)*($C12:$Z12&lt;&gt;"")*($D12:$AA12&lt;&gt;"")*($C12:$Z12&lt;&gt;$D12:$AA12))</f>
        <v/>
      </c>
    </row>
    <row r="13">
      <c r="A13" s="10" t="inlineStr">
        <is>
          <t>Pressure</t>
        </is>
      </c>
      <c r="B13" s="8" t="inlineStr">
        <is>
          <t>Startup &amp; Every 30 Min</t>
        </is>
      </c>
      <c r="C13" s="23" t="n"/>
      <c r="D13" s="23" t="n"/>
      <c r="E13" s="23" t="n">
        <v>42</v>
      </c>
      <c r="F13" s="23" t="n">
        <v>42</v>
      </c>
      <c r="G13" s="23" t="n">
        <v>43</v>
      </c>
      <c r="H13" s="23" t="n">
        <v>43</v>
      </c>
      <c r="I13" s="23" t="n"/>
      <c r="J13" s="23" t="n"/>
      <c r="K13" s="23" t="n">
        <v>48</v>
      </c>
      <c r="L13" s="23" t="n">
        <v>48</v>
      </c>
      <c r="M13" s="23" t="n"/>
      <c r="N13" s="23" t="n"/>
      <c r="O13" s="23" t="n">
        <v>38</v>
      </c>
      <c r="P13" s="23" t="n">
        <v>38</v>
      </c>
      <c r="Q13" s="23" t="n">
        <v>40</v>
      </c>
      <c r="R13" s="23" t="n">
        <v>40</v>
      </c>
      <c r="S13" s="23" t="n">
        <v>44</v>
      </c>
      <c r="T13" s="23" t="n">
        <v>44</v>
      </c>
      <c r="U13" s="23" t="n">
        <v>46</v>
      </c>
      <c r="V13" s="23" t="n">
        <v>46</v>
      </c>
      <c r="W13" s="23" t="n">
        <v>42</v>
      </c>
      <c r="X13" s="23" t="n">
        <v>42</v>
      </c>
      <c r="Y13" s="23" t="n">
        <v>40</v>
      </c>
      <c r="Z13" s="23" t="n">
        <v>40</v>
      </c>
      <c r="AA13" s="23" t="n"/>
      <c r="AB13" s="24">
        <f>COUNT($C13:$AA13)</f>
        <v/>
      </c>
      <c r="AC13" s="12" t="inlineStr"/>
      <c r="AD13" s="25">
        <f>IF(COUNT($C13:$AA13)=0,"",MIN($C13:$AA13))</f>
        <v/>
      </c>
      <c r="AE13" s="25">
        <f>IF(COUNT($C13:$AA13)=0,"",MAX($C13:$AA13))</f>
        <v/>
      </c>
      <c r="AF13" s="25">
        <f>IF(COUNT($C13:$AA13)=0,"",AVERAGE($C13:$AA13))</f>
        <v/>
      </c>
      <c r="AG13" s="24">
        <f>SUMPRODUCT((MOD(COLUMN($C13:$Z13)-COLUMN($C$1),2)=0)*($C13:$Z13&lt;&gt;"")*($D13:$AA13&lt;&gt;""))</f>
        <v/>
      </c>
      <c r="AH13" s="24">
        <f>SUMPRODUCT((MOD(COLUMN($C13:$Z13)-COLUMN($C$1),2)=0)*($C13:$Z13&lt;&gt;"")*($D13:$AA13&lt;&gt;"")*($C13:$Z13&lt;&gt;$D13:$AA13))</f>
        <v/>
      </c>
    </row>
    <row r="14">
      <c r="A14" s="26" t="inlineStr">
        <is>
          <t>Temperature</t>
        </is>
      </c>
      <c r="B14" s="27" t="inlineStr">
        <is>
          <t>Startup &amp; Every 30 Min</t>
        </is>
      </c>
      <c r="C14" s="28" t="n"/>
      <c r="D14" s="28" t="n"/>
      <c r="E14" s="28" t="n">
        <v>10.2</v>
      </c>
      <c r="F14" s="28" t="n">
        <v>10.2</v>
      </c>
      <c r="G14" s="28" t="n">
        <v>9.5</v>
      </c>
      <c r="H14" s="28" t="n">
        <v>9.5</v>
      </c>
      <c r="I14" s="28" t="n"/>
      <c r="J14" s="28" t="n"/>
      <c r="K14" s="32" t="n">
        <v>14.2</v>
      </c>
      <c r="L14" s="28" t="n">
        <v>14.2</v>
      </c>
      <c r="M14" s="28" t="n"/>
      <c r="N14" s="28" t="n"/>
      <c r="O14" s="28" t="n">
        <v>10.3</v>
      </c>
      <c r="P14" s="28" t="n">
        <v>10.3</v>
      </c>
      <c r="Q14" s="28" t="n">
        <v>13</v>
      </c>
      <c r="R14" s="28" t="n">
        <v>13</v>
      </c>
      <c r="S14" s="28" t="n">
        <v>13.8</v>
      </c>
      <c r="T14" s="28" t="n">
        <v>13.8</v>
      </c>
      <c r="U14" s="28" t="n">
        <v>13.8</v>
      </c>
      <c r="V14" s="28" t="n">
        <v>13.8</v>
      </c>
      <c r="W14" s="28" t="n">
        <v>9.5</v>
      </c>
      <c r="X14" s="28" t="n">
        <v>9.5</v>
      </c>
      <c r="Y14" s="28" t="n">
        <v>10.3</v>
      </c>
      <c r="Z14" s="28" t="n">
        <v>10.3</v>
      </c>
      <c r="AA14" s="28" t="n"/>
      <c r="AB14" s="29">
        <f>COUNT($C14:$AA14)</f>
        <v/>
      </c>
      <c r="AC14" s="30" t="inlineStr"/>
      <c r="AD14" s="31">
        <f>IF(COUNT($C14:$AA14)=0,"",MIN($C14:$AA14))</f>
        <v/>
      </c>
      <c r="AE14" s="31">
        <f>IF(COUNT($C14:$AA14)=0,"",MAX($C14:$AA14))</f>
        <v/>
      </c>
      <c r="AF14" s="31">
        <f>IF(COUNT($C14:$AA14)=0,"",AVERAGE($C14:$AA14))</f>
        <v/>
      </c>
      <c r="AG14" s="29">
        <f>SUMPRODUCT((MOD(COLUMN($C14:$Z14)-COLUMN($C$1),2)=0)*($C14:$Z14&lt;&gt;"")*($D14:$AA14&lt;&gt;""))</f>
        <v/>
      </c>
      <c r="AH14" s="29">
        <f>SUMPRODUCT((MOD(COLUMN($C14:$Z14)-COLUMN($C$1),2)=0)*($C14:$Z14&lt;&gt;"")*($D14:$AA14&lt;&gt;"")*($C14:$Z14&lt;&gt;$D14:$AA14))</f>
        <v/>
      </c>
    </row>
    <row r="15">
      <c r="A15" s="10" t="inlineStr">
        <is>
          <t>G.V.</t>
        </is>
      </c>
      <c r="B15" s="8" t="inlineStr">
        <is>
          <t>Startup &amp; Every 30 Min</t>
        </is>
      </c>
      <c r="C15" s="23" t="n"/>
      <c r="D15" s="23" t="n"/>
      <c r="E15" s="23" t="n">
        <v>4.4</v>
      </c>
      <c r="F15" s="23" t="n">
        <v>4.4</v>
      </c>
      <c r="G15" s="23" t="n">
        <v>4.6</v>
      </c>
      <c r="H15" s="23" t="n">
        <v>4.6</v>
      </c>
      <c r="I15" s="23" t="n"/>
      <c r="J15" s="23" t="n"/>
      <c r="K15" s="23" t="n">
        <v>4.4</v>
      </c>
      <c r="L15" s="23" t="n">
        <v>4.4</v>
      </c>
      <c r="M15" s="23" t="n"/>
      <c r="N15" s="23" t="n"/>
      <c r="O15" s="23" t="n">
        <v>4.2</v>
      </c>
      <c r="P15" s="23" t="n">
        <v>4.2</v>
      </c>
      <c r="Q15" s="23" t="n">
        <v>4</v>
      </c>
      <c r="R15" s="23" t="n">
        <v>4</v>
      </c>
      <c r="S15" s="23" t="n">
        <v>4.2</v>
      </c>
      <c r="T15" s="23" t="n">
        <v>4.2</v>
      </c>
      <c r="U15" s="23" t="n">
        <v>4.3</v>
      </c>
      <c r="V15" s="23" t="n">
        <v>4.3</v>
      </c>
      <c r="W15" s="23" t="n">
        <v>4.6</v>
      </c>
      <c r="X15" s="23" t="n">
        <v>4.6</v>
      </c>
      <c r="Y15" s="23" t="n">
        <v>4.3</v>
      </c>
      <c r="Z15" s="23" t="n">
        <v>4.3</v>
      </c>
      <c r="AA15" s="23" t="n"/>
      <c r="AB15" s="24">
        <f>COUNT($C15:$AA15)</f>
        <v/>
      </c>
      <c r="AC15" s="12" t="inlineStr"/>
      <c r="AD15" s="25">
        <f>IF(COUNT($C15:$AA15)=0,"",MIN($C15:$AA15))</f>
        <v/>
      </c>
      <c r="AE15" s="25">
        <f>IF(COUNT($C15:$AA15)=0,"",MAX($C15:$AA15))</f>
        <v/>
      </c>
      <c r="AF15" s="25">
        <f>IF(COUNT($C15:$AA15)=0,"",AVERAGE($C15:$AA15))</f>
        <v/>
      </c>
      <c r="AG15" s="24">
        <f>SUMPRODUCT((MOD(COLUMN($C15:$Z15)-COLUMN($C$1),2)=0)*($C15:$Z15&lt;&gt;"")*($D15:$AA15&lt;&gt;""))</f>
        <v/>
      </c>
      <c r="AH15" s="24">
        <f>SUMPRODUCT((MOD(COLUMN($C15:$Z15)-COLUMN($C$1),2)=0)*($C15:$Z15&lt;&gt;"")*($D15:$AA15&lt;&gt;"")*($C15:$Z15&lt;&gt;$D15:$AA15))</f>
        <v/>
      </c>
    </row>
    <row r="16">
      <c r="A16" s="26" t="inlineStr">
        <is>
          <t>TOA</t>
        </is>
      </c>
      <c r="B16" s="27" t="inlineStr">
        <is>
          <t>Startup &amp; Every 30 Min</t>
        </is>
      </c>
      <c r="C16" s="30" t="n"/>
      <c r="D16" s="30" t="n"/>
      <c r="E16" s="30" t="inlineStr">
        <is>
          <t>OK</t>
        </is>
      </c>
      <c r="F16" s="30" t="inlineStr">
        <is>
          <t>OK</t>
        </is>
      </c>
      <c r="G16" s="30" t="inlineStr">
        <is>
          <t>OK</t>
        </is>
      </c>
      <c r="H16" s="30" t="inlineStr">
        <is>
          <t>OK</t>
        </is>
      </c>
      <c r="I16" s="30" t="n"/>
      <c r="J16" s="30" t="n"/>
      <c r="K16" s="30" t="inlineStr">
        <is>
          <t>OK</t>
        </is>
      </c>
      <c r="L16" s="30" t="inlineStr">
        <is>
          <t>OK</t>
        </is>
      </c>
      <c r="M16" s="30" t="n"/>
      <c r="N16" s="30" t="n"/>
      <c r="O16" s="30" t="inlineStr">
        <is>
          <t>OK</t>
        </is>
      </c>
      <c r="P16" s="30" t="inlineStr">
        <is>
          <t>OK</t>
        </is>
      </c>
      <c r="Q16" s="30" t="inlineStr">
        <is>
          <t>OK</t>
        </is>
      </c>
      <c r="R16" s="30" t="inlineStr">
        <is>
          <t>OK</t>
        </is>
      </c>
      <c r="S16" s="30" t="inlineStr">
        <is>
          <t>OK</t>
        </is>
      </c>
      <c r="T16" s="30" t="inlineStr">
        <is>
          <t>OK</t>
        </is>
      </c>
      <c r="U16" s="30" t="inlineStr">
        <is>
          <t>OK</t>
        </is>
      </c>
      <c r="V16" s="30" t="inlineStr">
        <is>
          <t>OK</t>
        </is>
      </c>
      <c r="W16" s="30" t="inlineStr">
        <is>
          <t>OK</t>
        </is>
      </c>
      <c r="X16" s="30" t="inlineStr">
        <is>
          <t>OK</t>
        </is>
      </c>
      <c r="Y16" s="30" t="inlineStr">
        <is>
          <t>OK</t>
        </is>
      </c>
      <c r="Z16" s="30" t="inlineStr">
        <is>
          <t>OK</t>
        </is>
      </c>
      <c r="AA16" s="30" t="n"/>
      <c r="AB16" s="29">
        <f>COUNTA($C16:$AA16)</f>
        <v/>
      </c>
      <c r="AC16" s="29">
        <f>COUNTIF($C16:$AA16,"OK")</f>
        <v/>
      </c>
      <c r="AD16" s="30" t="inlineStr"/>
      <c r="AE16" s="30" t="inlineStr"/>
      <c r="AF16" s="30" t="inlineStr"/>
      <c r="AG16" s="30" t="inlineStr"/>
      <c r="AH16" s="30" t="inlineStr"/>
    </row>
    <row r="17">
      <c r="A17" s="10" t="inlineStr">
        <is>
          <t>Stress Crack Test</t>
        </is>
      </c>
      <c r="B17" s="8" t="inlineStr">
        <is>
          <t>Start Up &amp; Every 4 Hours</t>
        </is>
      </c>
      <c r="C17" s="12" t="n"/>
      <c r="D17" s="12" t="n"/>
      <c r="E17" s="12" t="inlineStr">
        <is>
          <t>OK</t>
        </is>
      </c>
      <c r="F17" s="12" t="inlineStr">
        <is>
          <t>–</t>
        </is>
      </c>
      <c r="G17" s="12" t="inlineStr">
        <is>
          <t>–</t>
        </is>
      </c>
      <c r="H17" s="12" t="inlineStr">
        <is>
          <t>–</t>
        </is>
      </c>
      <c r="I17" s="12" t="n"/>
      <c r="J17" s="12" t="n"/>
      <c r="K17" s="12" t="inlineStr">
        <is>
          <t>–</t>
        </is>
      </c>
      <c r="L17" s="12" t="inlineStr">
        <is>
          <t>–</t>
        </is>
      </c>
      <c r="M17" s="12" t="n"/>
      <c r="N17" s="12" t="n"/>
      <c r="O17" s="12" t="inlineStr">
        <is>
          <t>–</t>
        </is>
      </c>
      <c r="P17" s="12" t="inlineStr">
        <is>
          <t>–</t>
        </is>
      </c>
      <c r="Q17" s="12" t="inlineStr">
        <is>
          <t>–</t>
        </is>
      </c>
      <c r="R17" s="12" t="inlineStr">
        <is>
          <t>–</t>
        </is>
      </c>
      <c r="S17" s="12" t="inlineStr">
        <is>
          <t>–</t>
        </is>
      </c>
      <c r="T17" s="12" t="inlineStr">
        <is>
          <t>–</t>
        </is>
      </c>
      <c r="U17" s="12" t="inlineStr">
        <is>
          <t>–</t>
        </is>
      </c>
      <c r="V17" s="12" t="inlineStr">
        <is>
          <t>–</t>
        </is>
      </c>
      <c r="W17" s="12" t="inlineStr">
        <is>
          <t>–</t>
        </is>
      </c>
      <c r="X17" s="12" t="inlineStr">
        <is>
          <t>–</t>
        </is>
      </c>
      <c r="Y17" s="12" t="inlineStr">
        <is>
          <t>–</t>
        </is>
      </c>
      <c r="Z17" s="12" t="inlineStr">
        <is>
          <t>–</t>
        </is>
      </c>
      <c r="AA17" s="12" t="n"/>
      <c r="AB17" s="24">
        <f>COUNTA($C17:$AA17)</f>
        <v/>
      </c>
      <c r="AC17" s="24">
        <f>COUNTIF($C17:$AA17,"OK")</f>
        <v/>
      </c>
      <c r="AD17" s="12" t="inlineStr"/>
      <c r="AE17" s="12" t="inlineStr"/>
      <c r="AF17" s="12" t="inlineStr"/>
      <c r="AG17" s="12" t="inlineStr"/>
      <c r="AH17" s="12" t="inlineStr"/>
    </row>
    <row r="18">
      <c r="A18" s="26" t="inlineStr">
        <is>
          <t>Candling (observation)</t>
        </is>
      </c>
      <c r="B18" s="27" t="inlineStr">
        <is>
          <t>Every 2 hrs.</t>
        </is>
      </c>
      <c r="C18" s="30" t="n"/>
      <c r="D18" s="30" t="n"/>
      <c r="E18" s="30" t="inlineStr">
        <is>
          <t>–</t>
        </is>
      </c>
      <c r="F18" s="30" t="inlineStr">
        <is>
          <t>–</t>
        </is>
      </c>
      <c r="G18" s="30" t="inlineStr">
        <is>
          <t>–</t>
        </is>
      </c>
      <c r="H18" s="30" t="inlineStr">
        <is>
          <t>–</t>
        </is>
      </c>
      <c r="I18" s="30" t="n"/>
      <c r="J18" s="30" t="n"/>
      <c r="K18" s="30" t="inlineStr">
        <is>
          <t>–</t>
        </is>
      </c>
      <c r="L18" s="30" t="inlineStr">
        <is>
          <t>–</t>
        </is>
      </c>
      <c r="M18" s="30" t="n"/>
      <c r="N18" s="30" t="n"/>
      <c r="O18" s="30" t="inlineStr">
        <is>
          <t>–</t>
        </is>
      </c>
      <c r="P18" s="30" t="inlineStr">
        <is>
          <t>–</t>
        </is>
      </c>
      <c r="Q18" s="30" t="inlineStr">
        <is>
          <t>–</t>
        </is>
      </c>
      <c r="R18" s="30" t="inlineStr">
        <is>
          <t>–</t>
        </is>
      </c>
      <c r="S18" s="30" t="inlineStr">
        <is>
          <t>–</t>
        </is>
      </c>
      <c r="T18" s="30" t="inlineStr">
        <is>
          <t>–</t>
        </is>
      </c>
      <c r="U18" s="30" t="inlineStr">
        <is>
          <t>–</t>
        </is>
      </c>
      <c r="V18" s="30" t="inlineStr">
        <is>
          <t>–</t>
        </is>
      </c>
      <c r="W18" s="30" t="inlineStr">
        <is>
          <t>–</t>
        </is>
      </c>
      <c r="X18" s="30" t="inlineStr">
        <is>
          <t>–</t>
        </is>
      </c>
      <c r="Y18" s="30" t="inlineStr">
        <is>
          <t>–</t>
        </is>
      </c>
      <c r="Z18" s="30" t="inlineStr">
        <is>
          <t>–</t>
        </is>
      </c>
      <c r="AA18" s="30" t="n"/>
      <c r="AB18" s="29">
        <f>COUNTA($C18:$AA18)</f>
        <v/>
      </c>
      <c r="AC18" s="29">
        <f>COUNTIF($C18:$AA18,"OK")</f>
        <v/>
      </c>
      <c r="AD18" s="30" t="inlineStr"/>
      <c r="AE18" s="30" t="inlineStr"/>
      <c r="AF18" s="30" t="inlineStr"/>
      <c r="AG18" s="30" t="inlineStr"/>
      <c r="AH18" s="30" t="inlineStr"/>
    </row>
    <row r="19">
      <c r="A19" s="10" t="inlineStr">
        <is>
          <t>Beverage Temprature After Warmer</t>
        </is>
      </c>
      <c r="B19" s="8" t="inlineStr">
        <is>
          <t>Startup &amp; 4 hrs</t>
        </is>
      </c>
      <c r="C19" s="12" t="n"/>
      <c r="D19" s="12" t="n"/>
      <c r="E19" s="12" t="inlineStr">
        <is>
          <t>–</t>
        </is>
      </c>
      <c r="F19" s="12" t="inlineStr">
        <is>
          <t>–</t>
        </is>
      </c>
      <c r="G19" s="12" t="inlineStr">
        <is>
          <t>–</t>
        </is>
      </c>
      <c r="H19" s="12" t="inlineStr">
        <is>
          <t>–</t>
        </is>
      </c>
      <c r="I19" s="12" t="n"/>
      <c r="J19" s="12" t="n"/>
      <c r="K19" s="12" t="inlineStr">
        <is>
          <t>–</t>
        </is>
      </c>
      <c r="L19" s="12" t="inlineStr">
        <is>
          <t>–</t>
        </is>
      </c>
      <c r="M19" s="12" t="n"/>
      <c r="N19" s="12" t="n"/>
      <c r="O19" s="12" t="inlineStr">
        <is>
          <t>–</t>
        </is>
      </c>
      <c r="P19" s="12" t="inlineStr">
        <is>
          <t>–</t>
        </is>
      </c>
      <c r="Q19" s="12" t="inlineStr">
        <is>
          <t>–</t>
        </is>
      </c>
      <c r="R19" s="12" t="inlineStr">
        <is>
          <t>–</t>
        </is>
      </c>
      <c r="S19" s="12" t="inlineStr">
        <is>
          <t>–</t>
        </is>
      </c>
      <c r="T19" s="12" t="inlineStr">
        <is>
          <t>–</t>
        </is>
      </c>
      <c r="U19" s="12" t="inlineStr">
        <is>
          <t>–</t>
        </is>
      </c>
      <c r="V19" s="12" t="inlineStr">
        <is>
          <t>–</t>
        </is>
      </c>
      <c r="W19" s="12" t="inlineStr">
        <is>
          <t>–</t>
        </is>
      </c>
      <c r="X19" s="12" t="inlineStr">
        <is>
          <t>–</t>
        </is>
      </c>
      <c r="Y19" s="12" t="inlineStr">
        <is>
          <t>–</t>
        </is>
      </c>
      <c r="Z19" s="12" t="inlineStr">
        <is>
          <t>–</t>
        </is>
      </c>
      <c r="AA19" s="12" t="n"/>
      <c r="AB19" s="24">
        <f>COUNTA($C19:$AA19)</f>
        <v/>
      </c>
      <c r="AC19" s="24">
        <f>COUNTIF($C19:$AA19,"OK")</f>
        <v/>
      </c>
      <c r="AD19" s="12" t="inlineStr"/>
      <c r="AE19" s="12" t="inlineStr"/>
      <c r="AF19" s="12" t="inlineStr"/>
      <c r="AG19" s="12" t="inlineStr"/>
      <c r="AH19" s="12" t="inlineStr"/>
    </row>
    <row r="20">
      <c r="A20" s="26" t="inlineStr">
        <is>
          <t>Condensation on Bottle</t>
        </is>
      </c>
      <c r="B20" s="27" t="inlineStr">
        <is>
          <t>Startup &amp; 2 hrs</t>
        </is>
      </c>
      <c r="C20" s="30" t="n"/>
      <c r="D20" s="30" t="n"/>
      <c r="E20" s="30" t="inlineStr">
        <is>
          <t>–</t>
        </is>
      </c>
      <c r="F20" s="30" t="inlineStr">
        <is>
          <t>–</t>
        </is>
      </c>
      <c r="G20" s="30" t="inlineStr">
        <is>
          <t>–</t>
        </is>
      </c>
      <c r="H20" s="30" t="inlineStr">
        <is>
          <t>–</t>
        </is>
      </c>
      <c r="I20" s="30" t="n"/>
      <c r="J20" s="30" t="n"/>
      <c r="K20" s="30" t="inlineStr">
        <is>
          <t>–</t>
        </is>
      </c>
      <c r="L20" s="30" t="inlineStr">
        <is>
          <t>–</t>
        </is>
      </c>
      <c r="M20" s="30" t="n"/>
      <c r="N20" s="30" t="n"/>
      <c r="O20" s="30" t="inlineStr">
        <is>
          <t>–</t>
        </is>
      </c>
      <c r="P20" s="30" t="inlineStr">
        <is>
          <t>–</t>
        </is>
      </c>
      <c r="Q20" s="30" t="inlineStr">
        <is>
          <t>–</t>
        </is>
      </c>
      <c r="R20" s="30" t="inlineStr">
        <is>
          <t>–</t>
        </is>
      </c>
      <c r="S20" s="30" t="inlineStr">
        <is>
          <t>–</t>
        </is>
      </c>
      <c r="T20" s="30" t="inlineStr">
        <is>
          <t>–</t>
        </is>
      </c>
      <c r="U20" s="30" t="inlineStr">
        <is>
          <t>–</t>
        </is>
      </c>
      <c r="V20" s="30" t="inlineStr">
        <is>
          <t>–</t>
        </is>
      </c>
      <c r="W20" s="30" t="inlineStr">
        <is>
          <t>–</t>
        </is>
      </c>
      <c r="X20" s="30" t="inlineStr">
        <is>
          <t>–</t>
        </is>
      </c>
      <c r="Y20" s="30" t="inlineStr">
        <is>
          <t>–</t>
        </is>
      </c>
      <c r="Z20" s="30" t="inlineStr">
        <is>
          <t>–</t>
        </is>
      </c>
      <c r="AA20" s="30" t="n"/>
      <c r="AB20" s="29">
        <f>COUNTA($C20:$AA20)</f>
        <v/>
      </c>
      <c r="AC20" s="29">
        <f>COUNTIF($C20:$AA20,"OK")</f>
        <v/>
      </c>
      <c r="AD20" s="30" t="inlineStr"/>
      <c r="AE20" s="30" t="inlineStr"/>
      <c r="AF20" s="30" t="inlineStr"/>
      <c r="AG20" s="30" t="inlineStr"/>
      <c r="AH20" s="30" t="inlineStr"/>
    </row>
    <row r="21">
      <c r="A21" s="10" t="inlineStr">
        <is>
          <t>Label Alignment</t>
        </is>
      </c>
      <c r="B21" s="8" t="inlineStr">
        <is>
          <t>Startup &amp; Every 30 Min</t>
        </is>
      </c>
      <c r="C21" s="12" t="n"/>
      <c r="D21" s="12" t="n"/>
      <c r="E21" s="12" t="inlineStr">
        <is>
          <t>OK</t>
        </is>
      </c>
      <c r="F21" s="12" t="inlineStr">
        <is>
          <t>OK</t>
        </is>
      </c>
      <c r="G21" s="12" t="inlineStr">
        <is>
          <t>OK</t>
        </is>
      </c>
      <c r="H21" s="12" t="inlineStr">
        <is>
          <t>OK</t>
        </is>
      </c>
      <c r="I21" s="12" t="n"/>
      <c r="J21" s="12" t="n"/>
      <c r="K21" s="12" t="inlineStr">
        <is>
          <t>OK</t>
        </is>
      </c>
      <c r="L21" s="12" t="inlineStr">
        <is>
          <t>OK</t>
        </is>
      </c>
      <c r="M21" s="12" t="n"/>
      <c r="N21" s="12" t="n"/>
      <c r="O21" s="12" t="inlineStr">
        <is>
          <t>OK</t>
        </is>
      </c>
      <c r="P21" s="12" t="inlineStr">
        <is>
          <t>OK</t>
        </is>
      </c>
      <c r="Q21" s="12" t="inlineStr">
        <is>
          <t>OK</t>
        </is>
      </c>
      <c r="R21" s="12" t="inlineStr">
        <is>
          <t>OK</t>
        </is>
      </c>
      <c r="S21" s="12" t="inlineStr">
        <is>
          <t>OK</t>
        </is>
      </c>
      <c r="T21" s="12" t="inlineStr">
        <is>
          <t>OK</t>
        </is>
      </c>
      <c r="U21" s="12" t="inlineStr">
        <is>
          <t>OK</t>
        </is>
      </c>
      <c r="V21" s="12" t="inlineStr">
        <is>
          <t>OK</t>
        </is>
      </c>
      <c r="W21" s="12" t="inlineStr">
        <is>
          <t>OK</t>
        </is>
      </c>
      <c r="X21" s="12" t="inlineStr">
        <is>
          <t>OK</t>
        </is>
      </c>
      <c r="Y21" s="12" t="inlineStr">
        <is>
          <t>OK</t>
        </is>
      </c>
      <c r="Z21" s="12" t="inlineStr">
        <is>
          <t>OK</t>
        </is>
      </c>
      <c r="AA21" s="12" t="n"/>
      <c r="AB21" s="24">
        <f>COUNTA($C21:$AA21)</f>
        <v/>
      </c>
      <c r="AC21" s="24">
        <f>COUNTIF($C21:$AA21,"OK")</f>
        <v/>
      </c>
      <c r="AD21" s="12" t="inlineStr"/>
      <c r="AE21" s="12" t="inlineStr"/>
      <c r="AF21" s="12" t="inlineStr"/>
      <c r="AG21" s="12" t="inlineStr"/>
      <c r="AH21" s="12" t="inlineStr"/>
    </row>
    <row r="22">
      <c r="A22" s="26" t="inlineStr">
        <is>
          <t>Glue Application</t>
        </is>
      </c>
      <c r="B22" s="27" t="inlineStr">
        <is>
          <t>Startup &amp; Every 30 Min</t>
        </is>
      </c>
      <c r="C22" s="30" t="n"/>
      <c r="D22" s="30" t="n"/>
      <c r="E22" s="30" t="inlineStr">
        <is>
          <t>OK</t>
        </is>
      </c>
      <c r="F22" s="30" t="inlineStr">
        <is>
          <t>OK</t>
        </is>
      </c>
      <c r="G22" s="30" t="inlineStr">
        <is>
          <t>OK</t>
        </is>
      </c>
      <c r="H22" s="30" t="inlineStr">
        <is>
          <t>OK</t>
        </is>
      </c>
      <c r="I22" s="30" t="n"/>
      <c r="J22" s="30" t="n"/>
      <c r="K22" s="30" t="inlineStr">
        <is>
          <t>OK</t>
        </is>
      </c>
      <c r="L22" s="30" t="inlineStr">
        <is>
          <t>OK</t>
        </is>
      </c>
      <c r="M22" s="30" t="n"/>
      <c r="N22" s="30" t="n"/>
      <c r="O22" s="30" t="inlineStr">
        <is>
          <t>OK</t>
        </is>
      </c>
      <c r="P22" s="30" t="inlineStr">
        <is>
          <t>OK</t>
        </is>
      </c>
      <c r="Q22" s="30" t="inlineStr">
        <is>
          <t>OK</t>
        </is>
      </c>
      <c r="R22" s="30" t="inlineStr">
        <is>
          <t>OK</t>
        </is>
      </c>
      <c r="S22" s="30" t="inlineStr">
        <is>
          <t>OK</t>
        </is>
      </c>
      <c r="T22" s="30" t="inlineStr">
        <is>
          <t>OK</t>
        </is>
      </c>
      <c r="U22" s="30" t="inlineStr">
        <is>
          <t>OK</t>
        </is>
      </c>
      <c r="V22" s="30" t="inlineStr">
        <is>
          <t>OK</t>
        </is>
      </c>
      <c r="W22" s="30" t="inlineStr">
        <is>
          <t>OK</t>
        </is>
      </c>
      <c r="X22" s="30" t="inlineStr">
        <is>
          <t>OK</t>
        </is>
      </c>
      <c r="Y22" s="30" t="inlineStr">
        <is>
          <t>OK</t>
        </is>
      </c>
      <c r="Z22" s="30" t="inlineStr">
        <is>
          <t>OK</t>
        </is>
      </c>
      <c r="AA22" s="30" t="n"/>
      <c r="AB22" s="29">
        <f>COUNTA($C22:$AA22)</f>
        <v/>
      </c>
      <c r="AC22" s="29">
        <f>COUNTIF($C22:$AA22,"OK")</f>
        <v/>
      </c>
      <c r="AD22" s="30" t="inlineStr"/>
      <c r="AE22" s="30" t="inlineStr"/>
      <c r="AF22" s="30" t="inlineStr"/>
      <c r="AG22" s="30" t="inlineStr"/>
      <c r="AH22" s="30" t="inlineStr"/>
    </row>
    <row r="23">
      <c r="A23" s="10" t="inlineStr">
        <is>
          <t>Primary Coding</t>
        </is>
      </c>
      <c r="B23" s="8" t="inlineStr">
        <is>
          <t>Startup &amp; Every 30 Min</t>
        </is>
      </c>
      <c r="C23" s="12" t="n"/>
      <c r="D23" s="12" t="n"/>
      <c r="E23" s="12" t="inlineStr">
        <is>
          <t>OK</t>
        </is>
      </c>
      <c r="F23" s="12" t="inlineStr">
        <is>
          <t>OK</t>
        </is>
      </c>
      <c r="G23" s="12" t="inlineStr">
        <is>
          <t>OK</t>
        </is>
      </c>
      <c r="H23" s="12" t="inlineStr">
        <is>
          <t>OK</t>
        </is>
      </c>
      <c r="I23" s="12" t="n"/>
      <c r="J23" s="12" t="n"/>
      <c r="K23" s="12" t="inlineStr">
        <is>
          <t>OK</t>
        </is>
      </c>
      <c r="L23" s="12" t="inlineStr">
        <is>
          <t>OK</t>
        </is>
      </c>
      <c r="M23" s="12" t="n"/>
      <c r="N23" s="12" t="n"/>
      <c r="O23" s="12" t="inlineStr">
        <is>
          <t>OK</t>
        </is>
      </c>
      <c r="P23" s="12" t="inlineStr">
        <is>
          <t>OK</t>
        </is>
      </c>
      <c r="Q23" s="12" t="inlineStr">
        <is>
          <t>OK</t>
        </is>
      </c>
      <c r="R23" s="12" t="inlineStr">
        <is>
          <t>OK</t>
        </is>
      </c>
      <c r="S23" s="12" t="inlineStr">
        <is>
          <t>OK</t>
        </is>
      </c>
      <c r="T23" s="12" t="inlineStr">
        <is>
          <t>OK</t>
        </is>
      </c>
      <c r="U23" s="12" t="inlineStr">
        <is>
          <t>OK</t>
        </is>
      </c>
      <c r="V23" s="12" t="inlineStr">
        <is>
          <t>OK</t>
        </is>
      </c>
      <c r="W23" s="12" t="inlineStr">
        <is>
          <t>OK</t>
        </is>
      </c>
      <c r="X23" s="12" t="inlineStr">
        <is>
          <t>OK</t>
        </is>
      </c>
      <c r="Y23" s="12" t="inlineStr">
        <is>
          <t>OK</t>
        </is>
      </c>
      <c r="Z23" s="12" t="inlineStr">
        <is>
          <t>OK</t>
        </is>
      </c>
      <c r="AA23" s="12" t="n"/>
      <c r="AB23" s="24">
        <f>COUNTA($C23:$AA23)</f>
        <v/>
      </c>
      <c r="AC23" s="24">
        <f>COUNTIF($C23:$AA23,"OK")</f>
        <v/>
      </c>
      <c r="AD23" s="12" t="inlineStr"/>
      <c r="AE23" s="12" t="inlineStr"/>
      <c r="AF23" s="12" t="inlineStr"/>
      <c r="AG23" s="12" t="inlineStr"/>
      <c r="AH23" s="12" t="inlineStr"/>
    </row>
    <row r="24">
      <c r="A24" s="26" t="inlineStr">
        <is>
          <t>Shrink packing Quality</t>
        </is>
      </c>
      <c r="B24" s="27" t="inlineStr">
        <is>
          <t>Startup &amp; Every Hour</t>
        </is>
      </c>
      <c r="C24" s="30" t="n"/>
      <c r="D24" s="30" t="n"/>
      <c r="E24" s="30" t="inlineStr">
        <is>
          <t>OK</t>
        </is>
      </c>
      <c r="F24" s="30" t="inlineStr">
        <is>
          <t>OK</t>
        </is>
      </c>
      <c r="G24" s="30" t="inlineStr">
        <is>
          <t>OK</t>
        </is>
      </c>
      <c r="H24" s="30" t="inlineStr">
        <is>
          <t>OK</t>
        </is>
      </c>
      <c r="I24" s="30" t="n"/>
      <c r="J24" s="30" t="n"/>
      <c r="K24" s="30" t="inlineStr">
        <is>
          <t>OK</t>
        </is>
      </c>
      <c r="L24" s="30" t="inlineStr">
        <is>
          <t>OK</t>
        </is>
      </c>
      <c r="M24" s="30" t="n"/>
      <c r="N24" s="30" t="n"/>
      <c r="O24" s="30" t="inlineStr">
        <is>
          <t>OK</t>
        </is>
      </c>
      <c r="P24" s="30" t="inlineStr">
        <is>
          <t>OK</t>
        </is>
      </c>
      <c r="Q24" s="30" t="inlineStr">
        <is>
          <t>OK</t>
        </is>
      </c>
      <c r="R24" s="30" t="inlineStr">
        <is>
          <t>OK</t>
        </is>
      </c>
      <c r="S24" s="30" t="inlineStr">
        <is>
          <t>OK</t>
        </is>
      </c>
      <c r="T24" s="30" t="inlineStr">
        <is>
          <t>OK</t>
        </is>
      </c>
      <c r="U24" s="30" t="inlineStr">
        <is>
          <t>OK</t>
        </is>
      </c>
      <c r="V24" s="30" t="inlineStr">
        <is>
          <t>OK</t>
        </is>
      </c>
      <c r="W24" s="30" t="inlineStr">
        <is>
          <t>OK</t>
        </is>
      </c>
      <c r="X24" s="30" t="inlineStr">
        <is>
          <t>OK</t>
        </is>
      </c>
      <c r="Y24" s="30" t="inlineStr">
        <is>
          <t>OK</t>
        </is>
      </c>
      <c r="Z24" s="30" t="inlineStr">
        <is>
          <t>OK</t>
        </is>
      </c>
      <c r="AA24" s="30" t="n"/>
      <c r="AB24" s="29">
        <f>COUNTA($C24:$AA24)</f>
        <v/>
      </c>
      <c r="AC24" s="29">
        <f>COUNTIF($C24:$AA24,"OK")</f>
        <v/>
      </c>
      <c r="AD24" s="30" t="inlineStr"/>
      <c r="AE24" s="30" t="inlineStr"/>
      <c r="AF24" s="30" t="inlineStr"/>
      <c r="AG24" s="30" t="inlineStr"/>
      <c r="AH24" s="30" t="inlineStr"/>
    </row>
    <row r="25">
      <c r="A25" s="10" t="inlineStr">
        <is>
          <t>Torque</t>
        </is>
      </c>
      <c r="B25" s="8" t="inlineStr">
        <is>
          <t>All Capper Heads Start Up &amp; Every 2 Hours</t>
        </is>
      </c>
      <c r="C25" s="12" t="n"/>
      <c r="D25" s="12" t="n"/>
      <c r="E25" s="12" t="inlineStr">
        <is>
          <t>OK</t>
        </is>
      </c>
      <c r="F25" s="12" t="inlineStr">
        <is>
          <t>–</t>
        </is>
      </c>
      <c r="G25" s="12" t="inlineStr">
        <is>
          <t>–</t>
        </is>
      </c>
      <c r="H25" s="12" t="inlineStr">
        <is>
          <t>–</t>
        </is>
      </c>
      <c r="I25" s="12" t="n"/>
      <c r="J25" s="12" t="n"/>
      <c r="K25" s="12" t="inlineStr">
        <is>
          <t>–</t>
        </is>
      </c>
      <c r="L25" s="12" t="inlineStr">
        <is>
          <t>–</t>
        </is>
      </c>
      <c r="M25" s="12" t="n"/>
      <c r="N25" s="12" t="n"/>
      <c r="O25" s="12" t="inlineStr">
        <is>
          <t>–</t>
        </is>
      </c>
      <c r="P25" s="12" t="inlineStr">
        <is>
          <t>–</t>
        </is>
      </c>
      <c r="Q25" s="12" t="inlineStr">
        <is>
          <t>–</t>
        </is>
      </c>
      <c r="R25" s="12" t="inlineStr">
        <is>
          <t>–</t>
        </is>
      </c>
      <c r="S25" s="12" t="inlineStr">
        <is>
          <t>–</t>
        </is>
      </c>
      <c r="T25" s="12" t="inlineStr">
        <is>
          <t>–</t>
        </is>
      </c>
      <c r="U25" s="12" t="inlineStr">
        <is>
          <t>–</t>
        </is>
      </c>
      <c r="V25" s="12" t="inlineStr">
        <is>
          <t>–</t>
        </is>
      </c>
      <c r="W25" s="12" t="inlineStr">
        <is>
          <t>–</t>
        </is>
      </c>
      <c r="X25" s="12" t="inlineStr">
        <is>
          <t>–</t>
        </is>
      </c>
      <c r="Y25" s="12" t="inlineStr">
        <is>
          <t>–</t>
        </is>
      </c>
      <c r="Z25" s="12" t="inlineStr">
        <is>
          <t>–</t>
        </is>
      </c>
      <c r="AA25" s="12" t="n"/>
      <c r="AB25" s="24">
        <f>COUNTA($C25:$AA25)</f>
        <v/>
      </c>
      <c r="AC25" s="24">
        <f>COUNTIF($C25:$AA25,"OK")</f>
        <v/>
      </c>
      <c r="AD25" s="12" t="inlineStr"/>
      <c r="AE25" s="12" t="inlineStr"/>
      <c r="AF25" s="12" t="inlineStr"/>
      <c r="AG25" s="12" t="inlineStr"/>
      <c r="AH25" s="12" t="inlineStr"/>
    </row>
    <row r="26">
      <c r="A26" s="26" t="inlineStr">
        <is>
          <t>Closure Lot No.</t>
        </is>
      </c>
      <c r="B26" s="27" t="inlineStr"/>
      <c r="C26" s="30" t="n"/>
      <c r="D26" s="30" t="n"/>
      <c r="E26" s="3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c r="AA26" s="30" t="n"/>
      <c r="AB26" s="29">
        <f>COUNTA($C26:$AA26)</f>
        <v/>
      </c>
      <c r="AC26" s="29">
        <f>COUNTIF($C26:$AA26,"OK")</f>
        <v/>
      </c>
      <c r="AD26" s="30" t="inlineStr"/>
      <c r="AE26" s="30" t="inlineStr"/>
      <c r="AF26" s="30" t="inlineStr"/>
      <c r="AG26" s="30" t="inlineStr"/>
      <c r="AH26" s="30" t="inlineStr"/>
    </row>
    <row r="27">
      <c r="A27" s="10" t="inlineStr">
        <is>
          <t>Label Lot No.</t>
        </is>
      </c>
      <c r="B27" s="8" t="inlineStr"/>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24">
        <f>COUNTA($C27:$AA27)</f>
        <v/>
      </c>
      <c r="AC27" s="24">
        <f>COUNTIF($C27:$AA27,"OK")</f>
        <v/>
      </c>
      <c r="AD27" s="12" t="inlineStr"/>
      <c r="AE27" s="12" t="inlineStr"/>
      <c r="AF27" s="12" t="inlineStr"/>
      <c r="AG27" s="12" t="inlineStr"/>
      <c r="AH27" s="12" t="inlineStr"/>
    </row>
    <row r="28">
      <c r="A28" s="26" t="inlineStr">
        <is>
          <t>Preform Lot No.</t>
        </is>
      </c>
      <c r="B28" s="27" t="inlineStr"/>
      <c r="C28" s="30" t="n"/>
      <c r="D28" s="30" t="n"/>
      <c r="E28" s="3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c r="AA28" s="30" t="n"/>
      <c r="AB28" s="29">
        <f>COUNTA($C28:$AA28)</f>
        <v/>
      </c>
      <c r="AC28" s="29">
        <f>COUNTIF($C28:$AA28,"OK")</f>
        <v/>
      </c>
      <c r="AD28" s="30" t="inlineStr"/>
      <c r="AE28" s="30" t="inlineStr"/>
      <c r="AF28" s="30" t="inlineStr"/>
      <c r="AG28" s="30" t="inlineStr"/>
      <c r="AH28" s="30" t="inlineStr"/>
    </row>
    <row r="29">
      <c r="A29" s="33" t="inlineStr">
        <is>
          <t>Parameters filled in this column</t>
        </is>
      </c>
      <c r="B29" s="34" t="inlineStr">
        <is>
          <t>(live count)</t>
        </is>
      </c>
      <c r="C29" s="35">
        <f>COUNTA(C11:C28)</f>
        <v/>
      </c>
      <c r="D29" s="35">
        <f>COUNTA(D11:D28)</f>
        <v/>
      </c>
      <c r="E29" s="35">
        <f>COUNTA(E11:E28)</f>
        <v/>
      </c>
      <c r="F29" s="35">
        <f>COUNTA(F11:F28)</f>
        <v/>
      </c>
      <c r="G29" s="35">
        <f>COUNTA(G11:G28)</f>
        <v/>
      </c>
      <c r="H29" s="35">
        <f>COUNTA(H11:H28)</f>
        <v/>
      </c>
      <c r="I29" s="35">
        <f>COUNTA(I11:I28)</f>
        <v/>
      </c>
      <c r="J29" s="35">
        <f>COUNTA(J11:J28)</f>
        <v/>
      </c>
      <c r="K29" s="35">
        <f>COUNTA(K11:K28)</f>
        <v/>
      </c>
      <c r="L29" s="35">
        <f>COUNTA(L11:L28)</f>
        <v/>
      </c>
      <c r="M29" s="35">
        <f>COUNTA(M11:M28)</f>
        <v/>
      </c>
      <c r="N29" s="35">
        <f>COUNTA(N11:N28)</f>
        <v/>
      </c>
      <c r="O29" s="35">
        <f>COUNTA(O11:O28)</f>
        <v/>
      </c>
      <c r="P29" s="35">
        <f>COUNTA(P11:P28)</f>
        <v/>
      </c>
      <c r="Q29" s="35">
        <f>COUNTA(Q11:Q28)</f>
        <v/>
      </c>
      <c r="R29" s="35">
        <f>COUNTA(R11:R28)</f>
        <v/>
      </c>
      <c r="S29" s="35">
        <f>COUNTA(S11:S28)</f>
        <v/>
      </c>
      <c r="T29" s="35">
        <f>COUNTA(T11:T28)</f>
        <v/>
      </c>
      <c r="U29" s="35">
        <f>COUNTA(U11:U28)</f>
        <v/>
      </c>
      <c r="V29" s="35">
        <f>COUNTA(V11:V28)</f>
        <v/>
      </c>
      <c r="W29" s="35">
        <f>COUNTA(W11:W28)</f>
        <v/>
      </c>
      <c r="X29" s="35">
        <f>COUNTA(X11:X28)</f>
        <v/>
      </c>
      <c r="Y29" s="35">
        <f>COUNTA(Y11:Y28)</f>
        <v/>
      </c>
      <c r="Z29" s="35">
        <f>COUNTA(Z11:Z28)</f>
        <v/>
      </c>
      <c r="AA29" s="35">
        <f>COUNTA(AA11:AA28)</f>
        <v/>
      </c>
      <c r="AB29" s="36">
        <f>SUM(C29:AA29)</f>
        <v/>
      </c>
      <c r="AC29" s="35" t="inlineStr"/>
      <c r="AD29" s="35" t="inlineStr"/>
      <c r="AE29" s="35" t="inlineStr"/>
      <c r="AF29" s="35" t="inlineStr"/>
      <c r="AG29" s="36">
        <f>SUM(AG11:AG28)</f>
        <v/>
      </c>
      <c r="AH29" s="36">
        <f>SUM(AH11:AH28)</f>
        <v/>
      </c>
    </row>
    <row r="31" ht="18" customHeight="1">
      <c r="A31" s="3" t="inlineStr">
        <is>
          <t>Annotations written on the form</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row>
    <row r="32">
      <c r="A32" s="9" t="inlineStr">
        <is>
          <t>Where</t>
        </is>
      </c>
      <c r="B32" s="37" t="inlineStr">
        <is>
          <t>What the chemist wrote</t>
        </is>
      </c>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c r="AA32" s="38" t="n"/>
      <c r="AB32" s="38" t="n"/>
      <c r="AC32" s="38" t="n"/>
      <c r="AD32" s="38" t="n"/>
      <c r="AE32" s="38" t="n"/>
      <c r="AF32" s="38" t="n"/>
      <c r="AG32" s="38" t="n"/>
      <c r="AH32" s="38" t="n"/>
    </row>
    <row r="33" ht="30" customHeight="1">
      <c r="A33" s="18" t="inlineStr">
        <is>
          <t>08:30 column</t>
        </is>
      </c>
      <c r="B33" s="17" t="inlineStr">
        <is>
          <t>Vertical note: "Filler Start 8:30 am" with an arrow.</t>
        </is>
      </c>
    </row>
    <row r="34" ht="30" customHeight="1">
      <c r="A34" s="18" t="inlineStr">
        <is>
          <t>11:00 - 11:30 columns</t>
        </is>
      </c>
      <c r="B34" s="17" t="inlineStr">
        <is>
          <t>Vertical note: "Filler stop due to outfeed knife setting &amp; welding work" - no readings logged for these two intervals.</t>
        </is>
      </c>
    </row>
    <row r="35" ht="30" customHeight="1">
      <c r="A35" s="18" t="inlineStr">
        <is>
          <t>01:00 - 01:30 columns</t>
        </is>
      </c>
      <c r="B35" s="17" t="inlineStr">
        <is>
          <t>Vertical note: "Line stop" with arrows - no readings logged.</t>
        </is>
      </c>
    </row>
    <row r="36" ht="30" customHeight="1">
      <c r="A36" s="18" t="inlineStr">
        <is>
          <t>08:00 PM column</t>
        </is>
      </c>
      <c r="B36" s="17" t="inlineStr">
        <is>
          <t>Vertical note: "shift over".</t>
        </is>
      </c>
    </row>
    <row r="38">
      <c r="A38" s="6" t="inlineStr">
        <is>
          <t>Remark (as written on form)</t>
        </is>
      </c>
      <c r="B38" s="17" t="inlineStr">
        <is>
          <t>(left blank on the form)</t>
        </is>
      </c>
    </row>
    <row r="39">
      <c r="A39" s="6" t="inlineStr">
        <is>
          <t>QC Chemist</t>
        </is>
      </c>
      <c r="B39" s="11" t="inlineStr">
        <is>
          <t>Aafreen</t>
        </is>
      </c>
      <c r="E39" s="6" t="inlineStr">
        <is>
          <t>QC Manager</t>
        </is>
      </c>
      <c r="F39" s="19" t="n"/>
      <c r="G39" s="19" t="n"/>
      <c r="H39" s="19" t="n"/>
      <c r="I39" s="11" t="inlineStr">
        <is>
          <t>(initialled)</t>
        </is>
      </c>
      <c r="J39" s="13" t="n"/>
      <c r="K39" s="13" t="n"/>
      <c r="L39" s="13" t="n"/>
    </row>
    <row r="41" ht="18" customHeight="1">
      <c r="A41" s="3" t="inlineStr">
        <is>
          <t>Notes on this sheet</t>
        </is>
      </c>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row>
    <row r="42" ht="26" customHeight="1">
      <c r="A42" s="8" t="inlineStr">
        <is>
          <t>•  Blank cell = left blank on the paper form.   – = a dash was written (the test was not due at that interval).   OK = written as OK.</t>
        </is>
      </c>
    </row>
    <row r="43" ht="26" customHeight="1">
      <c r="A43" s="8" t="inlineStr">
        <is>
          <t>•  The 24-hour row under the printed times is our addition; the form prints 12-hour times with no am/pm marker.</t>
        </is>
      </c>
    </row>
    <row r="44" ht="26" customHeight="1">
      <c r="A44" s="8" t="inlineStr">
        <is>
          <t>•  Entries / OK count / Min / Max / Average / pair columns are live formulas over the time columns to their left - correct any reading and they re-derive.</t>
        </is>
      </c>
    </row>
    <row r="45" ht="26" customHeight="1">
      <c r="A45" s="8" t="inlineStr">
        <is>
          <t>•  “:00/:30 pairs” counts the paired readings actually written; “Pairs differing” counts pairs whose two halves are not identical. That is the accuracy check for this form, which carries no arithmetic column.</t>
        </is>
      </c>
    </row>
    <row r="46" ht="26" customHeight="1">
      <c r="A46" s="8" t="inlineStr">
        <is>
          <t>•  Cells carrying a red figure have a comment attached explaining the ambiguity or source anomaly.</t>
        </is>
      </c>
    </row>
    <row r="47" ht="26" customHeight="1">
      <c r="A47" s="8" t="inlineStr">
        <is>
          <t>•  FLAGGED - Temperature at 12:00: The 'Filler stop due to outfeed knife setting &amp; welding work' annotation is written across this cell and crosses the digits. The reading is supported by 12:30, which reads 14.2 clearly.</t>
        </is>
      </c>
    </row>
  </sheetData>
  <mergeCells count="26">
    <mergeCell ref="I39:L39"/>
    <mergeCell ref="A2:AH2"/>
    <mergeCell ref="A42:AH42"/>
    <mergeCell ref="A47:AH47"/>
    <mergeCell ref="E5:I5"/>
    <mergeCell ref="E4:I4"/>
    <mergeCell ref="A43:AH43"/>
    <mergeCell ref="B38:AH38"/>
    <mergeCell ref="A44:AH44"/>
    <mergeCell ref="B34:AH34"/>
    <mergeCell ref="A31:AH31"/>
    <mergeCell ref="J5:M5"/>
    <mergeCell ref="E39:H39"/>
    <mergeCell ref="E6:I6"/>
    <mergeCell ref="B33:AH33"/>
    <mergeCell ref="A1:AH1"/>
    <mergeCell ref="J6:M6"/>
    <mergeCell ref="A45:AH45"/>
    <mergeCell ref="B36:AH36"/>
    <mergeCell ref="B32:AH32"/>
    <mergeCell ref="E7:I7"/>
    <mergeCell ref="B35:AH35"/>
    <mergeCell ref="J4:M4"/>
    <mergeCell ref="A41:AH41"/>
    <mergeCell ref="A46:AH46"/>
    <mergeCell ref="J7:M7"/>
  </mergeCells>
  <conditionalFormatting sqref="AH11:AH29">
    <cfRule type="cellIs" priority="1" operator="greaterThan" dxfId="0">
      <formula>0</formula>
    </cfRule>
  </conditionalFormatting>
  <printOptions horizontalCentered="1"/>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2E5496"/>
    <outlinePr summaryBelow="1" summaryRight="1"/>
    <pageSetUpPr fitToPage="1"/>
  </sheetPr>
  <dimension ref="A1:AH46"/>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7.6" customWidth="1" min="3" max="3"/>
    <col width="7.6" customWidth="1" min="4" max="4"/>
    <col width="7.6" customWidth="1" min="5" max="5"/>
    <col width="7.6" customWidth="1" min="6" max="6"/>
    <col width="7.6" customWidth="1" min="7" max="7"/>
    <col width="7.6" customWidth="1" min="8" max="8"/>
    <col width="7.6" customWidth="1" min="9" max="9"/>
    <col width="7.6" customWidth="1" min="10" max="10"/>
    <col width="7.6" customWidth="1" min="11" max="11"/>
    <col width="7.6" customWidth="1" min="12" max="12"/>
    <col width="7.6" customWidth="1" min="13" max="13"/>
    <col width="7.6" customWidth="1" min="14" max="14"/>
    <col width="7.6" customWidth="1" min="15" max="15"/>
    <col width="7.6" customWidth="1" min="16" max="16"/>
    <col width="7.6" customWidth="1" min="17" max="17"/>
    <col width="7.6" customWidth="1" min="18" max="18"/>
    <col width="7.6" customWidth="1" min="19" max="19"/>
    <col width="7.6" customWidth="1" min="20" max="20"/>
    <col width="7.6" customWidth="1" min="21" max="21"/>
    <col width="7.6" customWidth="1" min="22" max="22"/>
    <col width="7.6" customWidth="1" min="23" max="23"/>
    <col width="7.6" customWidth="1" min="24" max="24"/>
    <col width="7.6" customWidth="1" min="25" max="25"/>
    <col width="7.6" customWidth="1" min="26" max="26"/>
    <col width="7.6"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s>
  <sheetData>
    <row r="1" ht="24" customHeight="1">
      <c r="A1" s="1" t="inlineStr">
        <is>
          <t>CSD PET ONLINE RECORD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row>
    <row r="2" ht="18" customHeight="1">
      <c r="A2" s="3" t="inlineStr">
        <is>
          <t>Doc No.: CSD-PET-FRM-03    |    transcribed from Photo 1 (PDF page 1)</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4">
      <c r="A4" s="6" t="inlineStr">
        <is>
          <t>Date</t>
        </is>
      </c>
      <c r="B4" s="11" t="inlineStr">
        <is>
          <t>20/08/26</t>
        </is>
      </c>
      <c r="E4" s="6" t="inlineStr">
        <is>
          <t>Finished Syrup B.No.</t>
        </is>
      </c>
      <c r="F4" s="19" t="n"/>
      <c r="G4" s="19" t="n"/>
      <c r="H4" s="19" t="n"/>
      <c r="I4" s="19" t="n"/>
      <c r="J4" s="20" t="inlineStr">
        <is>
          <t>(blank on form)</t>
        </is>
      </c>
      <c r="K4" s="13" t="n"/>
      <c r="L4" s="13" t="n"/>
      <c r="M4" s="13" t="n"/>
    </row>
    <row r="5">
      <c r="A5" s="6" t="inlineStr">
        <is>
          <t>Product</t>
        </is>
      </c>
      <c r="B5" s="11" t="inlineStr">
        <is>
          <t>MC2 Original 250 ml</t>
        </is>
      </c>
      <c r="E5" s="6" t="inlineStr">
        <is>
          <t>Control Drink As is Brix</t>
        </is>
      </c>
      <c r="F5" s="19" t="n"/>
      <c r="G5" s="19" t="n"/>
      <c r="H5" s="19" t="n"/>
      <c r="I5" s="19" t="n"/>
      <c r="J5" s="20" t="inlineStr">
        <is>
          <t>(blank on form)</t>
        </is>
      </c>
      <c r="K5" s="13" t="n"/>
      <c r="L5" s="13" t="n"/>
      <c r="M5" s="13" t="n"/>
    </row>
    <row r="6">
      <c r="A6" s="6" t="inlineStr">
        <is>
          <t>Chemist</t>
        </is>
      </c>
      <c r="B6" s="11" t="inlineStr">
        <is>
          <t>Pammee Singh</t>
        </is>
      </c>
      <c r="E6" s="6" t="inlineStr">
        <is>
          <t>Control Drink Invert Brix</t>
        </is>
      </c>
      <c r="F6" s="19" t="n"/>
      <c r="G6" s="19" t="n"/>
      <c r="H6" s="19" t="n"/>
      <c r="I6" s="19" t="n"/>
      <c r="J6" s="20" t="inlineStr">
        <is>
          <t>(blank on form)</t>
        </is>
      </c>
      <c r="K6" s="13" t="n"/>
      <c r="L6" s="13" t="n"/>
      <c r="M6" s="13" t="n"/>
    </row>
    <row r="7">
      <c r="A7" s="6" t="inlineStr">
        <is>
          <t>Shift</t>
        </is>
      </c>
      <c r="B7" s="11" t="inlineStr">
        <is>
          <t>Day</t>
        </is>
      </c>
      <c r="E7" s="6" t="inlineStr">
        <is>
          <t>Control Drink % Acidity</t>
        </is>
      </c>
      <c r="F7" s="19" t="n"/>
      <c r="G7" s="19" t="n"/>
      <c r="H7" s="19" t="n"/>
      <c r="I7" s="19" t="n"/>
      <c r="J7" s="20" t="inlineStr">
        <is>
          <t>(blank on form)</t>
        </is>
      </c>
      <c r="K7" s="13" t="n"/>
      <c r="L7" s="13" t="n"/>
      <c r="M7" s="13" t="n"/>
    </row>
    <row r="9">
      <c r="A9" s="9" t="inlineStr">
        <is>
          <t>Parameter</t>
        </is>
      </c>
      <c r="B9" s="9" t="inlineStr">
        <is>
          <t>Frequency</t>
        </is>
      </c>
      <c r="C9" s="9" t="inlineStr">
        <is>
          <t>08:00</t>
        </is>
      </c>
      <c r="D9" s="9" t="inlineStr">
        <is>
          <t>08:30</t>
        </is>
      </c>
      <c r="E9" s="9" t="inlineStr">
        <is>
          <t>09:00</t>
        </is>
      </c>
      <c r="F9" s="9" t="inlineStr">
        <is>
          <t>09:30</t>
        </is>
      </c>
      <c r="G9" s="9" t="inlineStr">
        <is>
          <t>10:00</t>
        </is>
      </c>
      <c r="H9" s="9" t="inlineStr">
        <is>
          <t>10:30</t>
        </is>
      </c>
      <c r="I9" s="9" t="inlineStr">
        <is>
          <t>11:00</t>
        </is>
      </c>
      <c r="J9" s="9" t="inlineStr">
        <is>
          <t>11:30</t>
        </is>
      </c>
      <c r="K9" s="9" t="inlineStr">
        <is>
          <t>12:00</t>
        </is>
      </c>
      <c r="L9" s="9" t="inlineStr">
        <is>
          <t>12:30</t>
        </is>
      </c>
      <c r="M9" s="9" t="inlineStr">
        <is>
          <t>01:00</t>
        </is>
      </c>
      <c r="N9" s="9" t="inlineStr">
        <is>
          <t>01:30</t>
        </is>
      </c>
      <c r="O9" s="9" t="inlineStr">
        <is>
          <t>02:00</t>
        </is>
      </c>
      <c r="P9" s="9" t="inlineStr">
        <is>
          <t>02:30</t>
        </is>
      </c>
      <c r="Q9" s="9" t="inlineStr">
        <is>
          <t>03:00</t>
        </is>
      </c>
      <c r="R9" s="9" t="inlineStr">
        <is>
          <t>03:30</t>
        </is>
      </c>
      <c r="S9" s="9" t="inlineStr">
        <is>
          <t>04:00</t>
        </is>
      </c>
      <c r="T9" s="9" t="inlineStr">
        <is>
          <t>04:30</t>
        </is>
      </c>
      <c r="U9" s="9" t="inlineStr">
        <is>
          <t>05:00</t>
        </is>
      </c>
      <c r="V9" s="9" t="inlineStr">
        <is>
          <t>05:30</t>
        </is>
      </c>
      <c r="W9" s="9" t="inlineStr">
        <is>
          <t>06:00</t>
        </is>
      </c>
      <c r="X9" s="9" t="inlineStr">
        <is>
          <t>06:30</t>
        </is>
      </c>
      <c r="Y9" s="9" t="inlineStr">
        <is>
          <t>07:00</t>
        </is>
      </c>
      <c r="Z9" s="9" t="inlineStr">
        <is>
          <t>07:30</t>
        </is>
      </c>
      <c r="AA9" s="9" t="inlineStr">
        <is>
          <t>08:00</t>
        </is>
      </c>
      <c r="AB9" s="9" t="inlineStr">
        <is>
          <t>Entries</t>
        </is>
      </c>
      <c r="AC9" s="9" t="inlineStr">
        <is>
          <t>OK count</t>
        </is>
      </c>
      <c r="AD9" s="9" t="inlineStr">
        <is>
          <t>Min</t>
        </is>
      </c>
      <c r="AE9" s="9" t="inlineStr">
        <is>
          <t>Max</t>
        </is>
      </c>
      <c r="AF9" s="9" t="inlineStr">
        <is>
          <t>Average</t>
        </is>
      </c>
      <c r="AG9" s="9" t="inlineStr">
        <is>
          <t>:00/:30 pairs</t>
        </is>
      </c>
      <c r="AH9" s="9" t="inlineStr">
        <is>
          <t>Pairs differing</t>
        </is>
      </c>
    </row>
    <row r="10">
      <c r="A10" s="21" t="inlineStr">
        <is>
          <t>24-hour equivalent →</t>
        </is>
      </c>
      <c r="B10" s="22" t="inlineStr"/>
      <c r="C10" s="22" t="inlineStr">
        <is>
          <t>08:00</t>
        </is>
      </c>
      <c r="D10" s="22" t="inlineStr">
        <is>
          <t>08:30</t>
        </is>
      </c>
      <c r="E10" s="22" t="inlineStr">
        <is>
          <t>09:00</t>
        </is>
      </c>
      <c r="F10" s="22" t="inlineStr">
        <is>
          <t>09:30</t>
        </is>
      </c>
      <c r="G10" s="22" t="inlineStr">
        <is>
          <t>10:00</t>
        </is>
      </c>
      <c r="H10" s="22" t="inlineStr">
        <is>
          <t>10:30</t>
        </is>
      </c>
      <c r="I10" s="22" t="inlineStr">
        <is>
          <t>11:00</t>
        </is>
      </c>
      <c r="J10" s="22" t="inlineStr">
        <is>
          <t>11:30</t>
        </is>
      </c>
      <c r="K10" s="22" t="inlineStr">
        <is>
          <t>12:00</t>
        </is>
      </c>
      <c r="L10" s="22" t="inlineStr">
        <is>
          <t>12:30</t>
        </is>
      </c>
      <c r="M10" s="22" t="inlineStr">
        <is>
          <t>13:00</t>
        </is>
      </c>
      <c r="N10" s="22" t="inlineStr">
        <is>
          <t>13:30</t>
        </is>
      </c>
      <c r="O10" s="22" t="inlineStr">
        <is>
          <t>14:00</t>
        </is>
      </c>
      <c r="P10" s="22" t="inlineStr">
        <is>
          <t>14:30</t>
        </is>
      </c>
      <c r="Q10" s="22" t="inlineStr">
        <is>
          <t>15:00</t>
        </is>
      </c>
      <c r="R10" s="22" t="inlineStr">
        <is>
          <t>15:30</t>
        </is>
      </c>
      <c r="S10" s="22" t="inlineStr">
        <is>
          <t>16:00</t>
        </is>
      </c>
      <c r="T10" s="22" t="inlineStr">
        <is>
          <t>16:30</t>
        </is>
      </c>
      <c r="U10" s="22" t="inlineStr">
        <is>
          <t>17:00</t>
        </is>
      </c>
      <c r="V10" s="22" t="inlineStr">
        <is>
          <t>17:30</t>
        </is>
      </c>
      <c r="W10" s="22" t="inlineStr">
        <is>
          <t>18:00</t>
        </is>
      </c>
      <c r="X10" s="22" t="inlineStr">
        <is>
          <t>18:30</t>
        </is>
      </c>
      <c r="Y10" s="22" t="inlineStr">
        <is>
          <t>19:00</t>
        </is>
      </c>
      <c r="Z10" s="22" t="inlineStr">
        <is>
          <t>19:30</t>
        </is>
      </c>
      <c r="AA10" s="22" t="inlineStr">
        <is>
          <t>20:00</t>
        </is>
      </c>
      <c r="AB10" s="22" t="inlineStr"/>
      <c r="AC10" s="22" t="inlineStr"/>
      <c r="AD10" s="22" t="inlineStr"/>
      <c r="AE10" s="22" t="inlineStr"/>
      <c r="AF10" s="22" t="inlineStr"/>
      <c r="AG10" s="22" t="inlineStr"/>
      <c r="AH10" s="22" t="inlineStr"/>
    </row>
    <row r="11">
      <c r="A11" s="10" t="inlineStr">
        <is>
          <t>As is brix (Bev.)</t>
        </is>
      </c>
      <c r="B11" s="8" t="inlineStr">
        <is>
          <t>Startup &amp; Every 30 Min</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4">
        <f>COUNT($C11:$AA11)</f>
        <v/>
      </c>
      <c r="AC11" s="12" t="inlineStr"/>
      <c r="AD11" s="25">
        <f>IF(COUNT($C11:$AA11)=0,"",MIN($C11:$AA11))</f>
        <v/>
      </c>
      <c r="AE11" s="25">
        <f>IF(COUNT($C11:$AA11)=0,"",MAX($C11:$AA11))</f>
        <v/>
      </c>
      <c r="AF11" s="25">
        <f>IF(COUNT($C11:$AA11)=0,"",AVERAGE($C11:$AA11))</f>
        <v/>
      </c>
      <c r="AG11" s="24">
        <f>SUMPRODUCT((MOD(COLUMN($C11:$Z11)-COLUMN($C$1),2)=0)*($C11:$Z11&lt;&gt;"")*($D11:$AA11&lt;&gt;""))</f>
        <v/>
      </c>
      <c r="AH11" s="24">
        <f>SUMPRODUCT((MOD(COLUMN($C11:$Z11)-COLUMN($C$1),2)=0)*($C11:$Z11&lt;&gt;"")*($D11:$AA11&lt;&gt;"")*($C11:$Z11&lt;&gt;$D11:$AA11))</f>
        <v/>
      </c>
    </row>
    <row r="12">
      <c r="A12" s="26" t="inlineStr">
        <is>
          <t>% Acidity</t>
        </is>
      </c>
      <c r="B12" s="27" t="inlineStr">
        <is>
          <t>startup &amp; Every hrs</t>
        </is>
      </c>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c r="AA12" s="28" t="n"/>
      <c r="AB12" s="29">
        <f>COUNT($C12:$AA12)</f>
        <v/>
      </c>
      <c r="AC12" s="30" t="inlineStr"/>
      <c r="AD12" s="31">
        <f>IF(COUNT($C12:$AA12)=0,"",MIN($C12:$AA12))</f>
        <v/>
      </c>
      <c r="AE12" s="31">
        <f>IF(COUNT($C12:$AA12)=0,"",MAX($C12:$AA12))</f>
        <v/>
      </c>
      <c r="AF12" s="31">
        <f>IF(COUNT($C12:$AA12)=0,"",AVERAGE($C12:$AA12))</f>
        <v/>
      </c>
      <c r="AG12" s="29">
        <f>SUMPRODUCT((MOD(COLUMN($C12:$Z12)-COLUMN($C$1),2)=0)*($C12:$Z12&lt;&gt;"")*($D12:$AA12&lt;&gt;""))</f>
        <v/>
      </c>
      <c r="AH12" s="29">
        <f>SUMPRODUCT((MOD(COLUMN($C12:$Z12)-COLUMN($C$1),2)=0)*($C12:$Z12&lt;&gt;"")*($D12:$AA12&lt;&gt;"")*($C12:$Z12&lt;&gt;$D12:$AA12))</f>
        <v/>
      </c>
    </row>
    <row r="13">
      <c r="A13" s="10" t="inlineStr">
        <is>
          <t>Pressure</t>
        </is>
      </c>
      <c r="B13" s="8" t="inlineStr">
        <is>
          <t>Startup &amp; Every 30 Min</t>
        </is>
      </c>
      <c r="C13" s="23" t="n">
        <v>40</v>
      </c>
      <c r="D13" s="23" t="n">
        <v>40</v>
      </c>
      <c r="E13" s="23" t="n">
        <v>36</v>
      </c>
      <c r="F13" s="23" t="n">
        <v>36</v>
      </c>
      <c r="G13" s="23" t="n"/>
      <c r="H13" s="23" t="n"/>
      <c r="I13" s="23" t="n">
        <v>42</v>
      </c>
      <c r="J13" s="23" t="n">
        <v>42</v>
      </c>
      <c r="K13" s="23" t="n">
        <v>40</v>
      </c>
      <c r="L13" s="23" t="n">
        <v>40</v>
      </c>
      <c r="M13" s="23" t="n">
        <v>40</v>
      </c>
      <c r="N13" s="23" t="n">
        <v>40</v>
      </c>
      <c r="O13" s="23" t="n">
        <v>38</v>
      </c>
      <c r="P13" s="23" t="n">
        <v>38</v>
      </c>
      <c r="Q13" s="23" t="n">
        <v>40</v>
      </c>
      <c r="R13" s="23" t="n">
        <v>40</v>
      </c>
      <c r="S13" s="23" t="n">
        <v>38</v>
      </c>
      <c r="T13" s="23" t="n">
        <v>38</v>
      </c>
      <c r="U13" s="23" t="n"/>
      <c r="V13" s="23" t="n"/>
      <c r="W13" s="23" t="n"/>
      <c r="X13" s="23" t="n"/>
      <c r="Y13" s="23" t="n">
        <v>42</v>
      </c>
      <c r="Z13" s="23" t="n">
        <v>42</v>
      </c>
      <c r="AA13" s="23" t="n"/>
      <c r="AB13" s="24">
        <f>COUNT($C13:$AA13)</f>
        <v/>
      </c>
      <c r="AC13" s="12" t="inlineStr"/>
      <c r="AD13" s="25">
        <f>IF(COUNT($C13:$AA13)=0,"",MIN($C13:$AA13))</f>
        <v/>
      </c>
      <c r="AE13" s="25">
        <f>IF(COUNT($C13:$AA13)=0,"",MAX($C13:$AA13))</f>
        <v/>
      </c>
      <c r="AF13" s="25">
        <f>IF(COUNT($C13:$AA13)=0,"",AVERAGE($C13:$AA13))</f>
        <v/>
      </c>
      <c r="AG13" s="24">
        <f>SUMPRODUCT((MOD(COLUMN($C13:$Z13)-COLUMN($C$1),2)=0)*($C13:$Z13&lt;&gt;"")*($D13:$AA13&lt;&gt;""))</f>
        <v/>
      </c>
      <c r="AH13" s="24">
        <f>SUMPRODUCT((MOD(COLUMN($C13:$Z13)-COLUMN($C$1),2)=0)*($C13:$Z13&lt;&gt;"")*($D13:$AA13&lt;&gt;"")*($C13:$Z13&lt;&gt;$D13:$AA13))</f>
        <v/>
      </c>
    </row>
    <row r="14">
      <c r="A14" s="26" t="inlineStr">
        <is>
          <t>Temperature</t>
        </is>
      </c>
      <c r="B14" s="27" t="inlineStr">
        <is>
          <t>Startup &amp; Every 30 Min</t>
        </is>
      </c>
      <c r="C14" s="28" t="n">
        <v>8.5</v>
      </c>
      <c r="D14" s="28" t="n">
        <v>8.5</v>
      </c>
      <c r="E14" s="28" t="n">
        <v>8.5</v>
      </c>
      <c r="F14" s="28" t="n">
        <v>8.5</v>
      </c>
      <c r="G14" s="28" t="n"/>
      <c r="H14" s="28" t="n"/>
      <c r="I14" s="28" t="n">
        <v>8.699999999999999</v>
      </c>
      <c r="J14" s="28" t="n">
        <v>8.699999999999999</v>
      </c>
      <c r="K14" s="32" t="n">
        <v>6.1</v>
      </c>
      <c r="L14" s="28" t="n">
        <v>10.1</v>
      </c>
      <c r="M14" s="28" t="n">
        <v>7.4</v>
      </c>
      <c r="N14" s="28" t="n">
        <v>7.4</v>
      </c>
      <c r="O14" s="28" t="n">
        <v>10.2</v>
      </c>
      <c r="P14" s="28" t="n">
        <v>10.2</v>
      </c>
      <c r="Q14" s="28" t="n">
        <v>9.300000000000001</v>
      </c>
      <c r="R14" s="28" t="n">
        <v>9.300000000000001</v>
      </c>
      <c r="S14" s="28" t="n">
        <v>10</v>
      </c>
      <c r="T14" s="28" t="n">
        <v>10</v>
      </c>
      <c r="U14" s="28" t="n"/>
      <c r="V14" s="28" t="n"/>
      <c r="W14" s="28" t="n"/>
      <c r="X14" s="28" t="n"/>
      <c r="Y14" s="28" t="n">
        <v>13.1</v>
      </c>
      <c r="Z14" s="28" t="n">
        <v>13.1</v>
      </c>
      <c r="AA14" s="28" t="n"/>
      <c r="AB14" s="29">
        <f>COUNT($C14:$AA14)</f>
        <v/>
      </c>
      <c r="AC14" s="30" t="inlineStr"/>
      <c r="AD14" s="31">
        <f>IF(COUNT($C14:$AA14)=0,"",MIN($C14:$AA14))</f>
        <v/>
      </c>
      <c r="AE14" s="31">
        <f>IF(COUNT($C14:$AA14)=0,"",MAX($C14:$AA14))</f>
        <v/>
      </c>
      <c r="AF14" s="31">
        <f>IF(COUNT($C14:$AA14)=0,"",AVERAGE($C14:$AA14))</f>
        <v/>
      </c>
      <c r="AG14" s="29">
        <f>SUMPRODUCT((MOD(COLUMN($C14:$Z14)-COLUMN($C$1),2)=0)*($C14:$Z14&lt;&gt;"")*($D14:$AA14&lt;&gt;""))</f>
        <v/>
      </c>
      <c r="AH14" s="29">
        <f>SUMPRODUCT((MOD(COLUMN($C14:$Z14)-COLUMN($C$1),2)=0)*($C14:$Z14&lt;&gt;"")*($D14:$AA14&lt;&gt;"")*($C14:$Z14&lt;&gt;$D14:$AA14))</f>
        <v/>
      </c>
    </row>
    <row r="15">
      <c r="A15" s="10" t="inlineStr">
        <is>
          <t>G.V.</t>
        </is>
      </c>
      <c r="B15" s="8" t="inlineStr">
        <is>
          <t>Startup &amp; Every 30 Min</t>
        </is>
      </c>
      <c r="C15" s="23" t="n">
        <v>4.5</v>
      </c>
      <c r="D15" s="23" t="n">
        <v>4.5</v>
      </c>
      <c r="E15" s="23" t="n">
        <v>4.2</v>
      </c>
      <c r="F15" s="23" t="n">
        <v>4.2</v>
      </c>
      <c r="G15" s="23" t="n"/>
      <c r="H15" s="23" t="n"/>
      <c r="I15" s="23" t="n">
        <v>4.7</v>
      </c>
      <c r="J15" s="23" t="n">
        <v>4.7</v>
      </c>
      <c r="K15" s="23" t="n">
        <v>4.3</v>
      </c>
      <c r="L15" s="23" t="n">
        <v>4.3</v>
      </c>
      <c r="M15" s="23" t="n">
        <v>4.7</v>
      </c>
      <c r="N15" s="23" t="n">
        <v>4.7</v>
      </c>
      <c r="O15" s="23" t="n">
        <v>4.1</v>
      </c>
      <c r="P15" s="23" t="n">
        <v>4.1</v>
      </c>
      <c r="Q15" s="23" t="n">
        <v>4.4</v>
      </c>
      <c r="R15" s="23" t="n">
        <v>4.4</v>
      </c>
      <c r="S15" s="23" t="n">
        <v>4.2</v>
      </c>
      <c r="T15" s="23" t="n">
        <v>4.2</v>
      </c>
      <c r="U15" s="23" t="n"/>
      <c r="V15" s="23" t="n"/>
      <c r="W15" s="23" t="n"/>
      <c r="X15" s="23" t="n"/>
      <c r="Y15" s="23" t="n">
        <v>4.1</v>
      </c>
      <c r="Z15" s="23" t="n">
        <v>4.1</v>
      </c>
      <c r="AA15" s="23" t="n"/>
      <c r="AB15" s="24">
        <f>COUNT($C15:$AA15)</f>
        <v/>
      </c>
      <c r="AC15" s="12" t="inlineStr"/>
      <c r="AD15" s="25">
        <f>IF(COUNT($C15:$AA15)=0,"",MIN($C15:$AA15))</f>
        <v/>
      </c>
      <c r="AE15" s="25">
        <f>IF(COUNT($C15:$AA15)=0,"",MAX($C15:$AA15))</f>
        <v/>
      </c>
      <c r="AF15" s="25">
        <f>IF(COUNT($C15:$AA15)=0,"",AVERAGE($C15:$AA15))</f>
        <v/>
      </c>
      <c r="AG15" s="24">
        <f>SUMPRODUCT((MOD(COLUMN($C15:$Z15)-COLUMN($C$1),2)=0)*($C15:$Z15&lt;&gt;"")*($D15:$AA15&lt;&gt;""))</f>
        <v/>
      </c>
      <c r="AH15" s="24">
        <f>SUMPRODUCT((MOD(COLUMN($C15:$Z15)-COLUMN($C$1),2)=0)*($C15:$Z15&lt;&gt;"")*($D15:$AA15&lt;&gt;"")*($C15:$Z15&lt;&gt;$D15:$AA15))</f>
        <v/>
      </c>
    </row>
    <row r="16">
      <c r="A16" s="26" t="inlineStr">
        <is>
          <t>TOA</t>
        </is>
      </c>
      <c r="B16" s="27" t="inlineStr">
        <is>
          <t>Startup &amp; Every 30 Min</t>
        </is>
      </c>
      <c r="C16" s="30" t="inlineStr">
        <is>
          <t>OK</t>
        </is>
      </c>
      <c r="D16" s="30" t="inlineStr">
        <is>
          <t>OK</t>
        </is>
      </c>
      <c r="E16" s="30" t="inlineStr">
        <is>
          <t>OK</t>
        </is>
      </c>
      <c r="F16" s="30" t="inlineStr">
        <is>
          <t>OK</t>
        </is>
      </c>
      <c r="G16" s="30" t="n"/>
      <c r="H16" s="30" t="n"/>
      <c r="I16" s="30" t="inlineStr">
        <is>
          <t>OK</t>
        </is>
      </c>
      <c r="J16" s="30" t="inlineStr">
        <is>
          <t>OK</t>
        </is>
      </c>
      <c r="K16" s="30" t="inlineStr">
        <is>
          <t>OK</t>
        </is>
      </c>
      <c r="L16" s="30" t="inlineStr">
        <is>
          <t>OK</t>
        </is>
      </c>
      <c r="M16" s="30" t="inlineStr">
        <is>
          <t>OK</t>
        </is>
      </c>
      <c r="N16" s="30" t="inlineStr">
        <is>
          <t>OK</t>
        </is>
      </c>
      <c r="O16" s="30" t="inlineStr">
        <is>
          <t>OK</t>
        </is>
      </c>
      <c r="P16" s="30" t="inlineStr">
        <is>
          <t>OK</t>
        </is>
      </c>
      <c r="Q16" s="30" t="inlineStr">
        <is>
          <t>OK</t>
        </is>
      </c>
      <c r="R16" s="30" t="inlineStr">
        <is>
          <t>OK</t>
        </is>
      </c>
      <c r="S16" s="30" t="inlineStr">
        <is>
          <t>OK</t>
        </is>
      </c>
      <c r="T16" s="30" t="inlineStr">
        <is>
          <t>OK</t>
        </is>
      </c>
      <c r="U16" s="30" t="n"/>
      <c r="V16" s="30" t="n"/>
      <c r="W16" s="30" t="n"/>
      <c r="X16" s="30" t="n"/>
      <c r="Y16" s="30" t="inlineStr">
        <is>
          <t>OK</t>
        </is>
      </c>
      <c r="Z16" s="30" t="inlineStr">
        <is>
          <t>OK</t>
        </is>
      </c>
      <c r="AA16" s="30" t="n"/>
      <c r="AB16" s="29">
        <f>COUNTA($C16:$AA16)</f>
        <v/>
      </c>
      <c r="AC16" s="29">
        <f>COUNTIF($C16:$AA16,"OK")</f>
        <v/>
      </c>
      <c r="AD16" s="30" t="inlineStr"/>
      <c r="AE16" s="30" t="inlineStr"/>
      <c r="AF16" s="30" t="inlineStr"/>
      <c r="AG16" s="30" t="inlineStr"/>
      <c r="AH16" s="30" t="inlineStr"/>
    </row>
    <row r="17">
      <c r="A17" s="10" t="inlineStr">
        <is>
          <t>Stress Crack Test</t>
        </is>
      </c>
      <c r="B17" s="8" t="inlineStr">
        <is>
          <t>Start Up &amp; Every 4 Hours</t>
        </is>
      </c>
      <c r="C17" s="12" t="inlineStr">
        <is>
          <t>OK</t>
        </is>
      </c>
      <c r="D17" s="12" t="inlineStr">
        <is>
          <t>OK</t>
        </is>
      </c>
      <c r="E17" s="12" t="inlineStr">
        <is>
          <t>OK</t>
        </is>
      </c>
      <c r="F17" s="12" t="inlineStr">
        <is>
          <t>OK</t>
        </is>
      </c>
      <c r="G17" s="12" t="n"/>
      <c r="H17" s="12" t="n"/>
      <c r="I17" s="12" t="inlineStr">
        <is>
          <t>OK</t>
        </is>
      </c>
      <c r="J17" s="12" t="inlineStr">
        <is>
          <t>OK</t>
        </is>
      </c>
      <c r="K17" s="12" t="inlineStr">
        <is>
          <t>OK</t>
        </is>
      </c>
      <c r="L17" s="12" t="inlineStr">
        <is>
          <t>OK</t>
        </is>
      </c>
      <c r="M17" s="12" t="inlineStr">
        <is>
          <t>OK</t>
        </is>
      </c>
      <c r="N17" s="12" t="inlineStr">
        <is>
          <t>OK</t>
        </is>
      </c>
      <c r="O17" s="12" t="inlineStr">
        <is>
          <t>OK</t>
        </is>
      </c>
      <c r="P17" s="12" t="inlineStr">
        <is>
          <t>OK</t>
        </is>
      </c>
      <c r="Q17" s="12" t="inlineStr">
        <is>
          <t>OK</t>
        </is>
      </c>
      <c r="R17" s="12" t="inlineStr">
        <is>
          <t>OK</t>
        </is>
      </c>
      <c r="S17" s="12" t="inlineStr">
        <is>
          <t>OK</t>
        </is>
      </c>
      <c r="T17" s="12" t="inlineStr">
        <is>
          <t>OK</t>
        </is>
      </c>
      <c r="U17" s="12" t="n"/>
      <c r="V17" s="12" t="n"/>
      <c r="W17" s="12" t="n"/>
      <c r="X17" s="12" t="n"/>
      <c r="Y17" s="12" t="inlineStr">
        <is>
          <t>OK</t>
        </is>
      </c>
      <c r="Z17" s="12" t="inlineStr">
        <is>
          <t>OK</t>
        </is>
      </c>
      <c r="AA17" s="12" t="n"/>
      <c r="AB17" s="24">
        <f>COUNTA($C17:$AA17)</f>
        <v/>
      </c>
      <c r="AC17" s="24">
        <f>COUNTIF($C17:$AA17,"OK")</f>
        <v/>
      </c>
      <c r="AD17" s="12" t="inlineStr"/>
      <c r="AE17" s="12" t="inlineStr"/>
      <c r="AF17" s="12" t="inlineStr"/>
      <c r="AG17" s="12" t="inlineStr"/>
      <c r="AH17" s="12" t="inlineStr"/>
    </row>
    <row r="18">
      <c r="A18" s="26" t="inlineStr">
        <is>
          <t>Candling (observation)</t>
        </is>
      </c>
      <c r="B18" s="27" t="inlineStr">
        <is>
          <t>Every 2 hrs.</t>
        </is>
      </c>
      <c r="C18" s="30" t="inlineStr">
        <is>
          <t>–</t>
        </is>
      </c>
      <c r="D18" s="30" t="inlineStr">
        <is>
          <t>–</t>
        </is>
      </c>
      <c r="E18" s="30" t="inlineStr">
        <is>
          <t>–</t>
        </is>
      </c>
      <c r="F18" s="30" t="inlineStr">
        <is>
          <t>–</t>
        </is>
      </c>
      <c r="G18" s="30" t="n"/>
      <c r="H18" s="30" t="n"/>
      <c r="I18" s="30" t="inlineStr">
        <is>
          <t>–</t>
        </is>
      </c>
      <c r="J18" s="30" t="inlineStr">
        <is>
          <t>–</t>
        </is>
      </c>
      <c r="K18" s="30" t="inlineStr">
        <is>
          <t>–</t>
        </is>
      </c>
      <c r="L18" s="30" t="inlineStr">
        <is>
          <t>–</t>
        </is>
      </c>
      <c r="M18" s="30" t="inlineStr">
        <is>
          <t>–</t>
        </is>
      </c>
      <c r="N18" s="30" t="inlineStr">
        <is>
          <t>–</t>
        </is>
      </c>
      <c r="O18" s="30" t="inlineStr">
        <is>
          <t>–</t>
        </is>
      </c>
      <c r="P18" s="30" t="inlineStr">
        <is>
          <t>–</t>
        </is>
      </c>
      <c r="Q18" s="30" t="inlineStr">
        <is>
          <t>–</t>
        </is>
      </c>
      <c r="R18" s="30" t="inlineStr">
        <is>
          <t>–</t>
        </is>
      </c>
      <c r="S18" s="30" t="inlineStr">
        <is>
          <t>–</t>
        </is>
      </c>
      <c r="T18" s="30" t="inlineStr">
        <is>
          <t>–</t>
        </is>
      </c>
      <c r="U18" s="30" t="n"/>
      <c r="V18" s="30" t="n"/>
      <c r="W18" s="30" t="n"/>
      <c r="X18" s="30" t="n"/>
      <c r="Y18" s="30" t="inlineStr">
        <is>
          <t>–</t>
        </is>
      </c>
      <c r="Z18" s="30" t="inlineStr">
        <is>
          <t>–</t>
        </is>
      </c>
      <c r="AA18" s="30" t="n"/>
      <c r="AB18" s="29">
        <f>COUNTA($C18:$AA18)</f>
        <v/>
      </c>
      <c r="AC18" s="29">
        <f>COUNTIF($C18:$AA18,"OK")</f>
        <v/>
      </c>
      <c r="AD18" s="30" t="inlineStr"/>
      <c r="AE18" s="30" t="inlineStr"/>
      <c r="AF18" s="30" t="inlineStr"/>
      <c r="AG18" s="30" t="inlineStr"/>
      <c r="AH18" s="30" t="inlineStr"/>
    </row>
    <row r="19">
      <c r="A19" s="10" t="inlineStr">
        <is>
          <t>Beverage Temprature After Warmer</t>
        </is>
      </c>
      <c r="B19" s="8" t="inlineStr">
        <is>
          <t>Startup &amp; 4 hrs</t>
        </is>
      </c>
      <c r="C19" s="12" t="inlineStr">
        <is>
          <t>–</t>
        </is>
      </c>
      <c r="D19" s="12" t="inlineStr">
        <is>
          <t>–</t>
        </is>
      </c>
      <c r="E19" s="12" t="inlineStr">
        <is>
          <t>–</t>
        </is>
      </c>
      <c r="F19" s="12" t="inlineStr">
        <is>
          <t>–</t>
        </is>
      </c>
      <c r="G19" s="12" t="n"/>
      <c r="H19" s="12" t="n"/>
      <c r="I19" s="12" t="inlineStr">
        <is>
          <t>–</t>
        </is>
      </c>
      <c r="J19" s="12" t="inlineStr">
        <is>
          <t>–</t>
        </is>
      </c>
      <c r="K19" s="12" t="inlineStr">
        <is>
          <t>–</t>
        </is>
      </c>
      <c r="L19" s="12" t="inlineStr">
        <is>
          <t>–</t>
        </is>
      </c>
      <c r="M19" s="12" t="inlineStr">
        <is>
          <t>–</t>
        </is>
      </c>
      <c r="N19" s="12" t="inlineStr">
        <is>
          <t>–</t>
        </is>
      </c>
      <c r="O19" s="12" t="inlineStr">
        <is>
          <t>–</t>
        </is>
      </c>
      <c r="P19" s="12" t="inlineStr">
        <is>
          <t>–</t>
        </is>
      </c>
      <c r="Q19" s="12" t="inlineStr">
        <is>
          <t>–</t>
        </is>
      </c>
      <c r="R19" s="12" t="inlineStr">
        <is>
          <t>–</t>
        </is>
      </c>
      <c r="S19" s="12" t="inlineStr">
        <is>
          <t>–</t>
        </is>
      </c>
      <c r="T19" s="12" t="inlineStr">
        <is>
          <t>–</t>
        </is>
      </c>
      <c r="U19" s="12" t="n"/>
      <c r="V19" s="12" t="n"/>
      <c r="W19" s="12" t="n"/>
      <c r="X19" s="12" t="n"/>
      <c r="Y19" s="12" t="inlineStr">
        <is>
          <t>–</t>
        </is>
      </c>
      <c r="Z19" s="12" t="inlineStr">
        <is>
          <t>–</t>
        </is>
      </c>
      <c r="AA19" s="12" t="n"/>
      <c r="AB19" s="24">
        <f>COUNTA($C19:$AA19)</f>
        <v/>
      </c>
      <c r="AC19" s="24">
        <f>COUNTIF($C19:$AA19,"OK")</f>
        <v/>
      </c>
      <c r="AD19" s="12" t="inlineStr"/>
      <c r="AE19" s="12" t="inlineStr"/>
      <c r="AF19" s="12" t="inlineStr"/>
      <c r="AG19" s="12" t="inlineStr"/>
      <c r="AH19" s="12" t="inlineStr"/>
    </row>
    <row r="20">
      <c r="A20" s="26" t="inlineStr">
        <is>
          <t>Condensation on Bottle</t>
        </is>
      </c>
      <c r="B20" s="27" t="inlineStr">
        <is>
          <t>Startup &amp; 2 hrs</t>
        </is>
      </c>
      <c r="C20" s="30" t="inlineStr">
        <is>
          <t>–</t>
        </is>
      </c>
      <c r="D20" s="30" t="inlineStr">
        <is>
          <t>–</t>
        </is>
      </c>
      <c r="E20" s="30" t="inlineStr">
        <is>
          <t>–</t>
        </is>
      </c>
      <c r="F20" s="30" t="inlineStr">
        <is>
          <t>–</t>
        </is>
      </c>
      <c r="G20" s="30" t="n"/>
      <c r="H20" s="30" t="n"/>
      <c r="I20" s="30" t="inlineStr">
        <is>
          <t>–</t>
        </is>
      </c>
      <c r="J20" s="30" t="inlineStr">
        <is>
          <t>–</t>
        </is>
      </c>
      <c r="K20" s="30" t="inlineStr">
        <is>
          <t>–</t>
        </is>
      </c>
      <c r="L20" s="30" t="inlineStr">
        <is>
          <t>–</t>
        </is>
      </c>
      <c r="M20" s="30" t="inlineStr">
        <is>
          <t>–</t>
        </is>
      </c>
      <c r="N20" s="30" t="inlineStr">
        <is>
          <t>–</t>
        </is>
      </c>
      <c r="O20" s="30" t="inlineStr">
        <is>
          <t>–</t>
        </is>
      </c>
      <c r="P20" s="30" t="inlineStr">
        <is>
          <t>–</t>
        </is>
      </c>
      <c r="Q20" s="30" t="inlineStr">
        <is>
          <t>–</t>
        </is>
      </c>
      <c r="R20" s="30" t="inlineStr">
        <is>
          <t>–</t>
        </is>
      </c>
      <c r="S20" s="30" t="inlineStr">
        <is>
          <t>–</t>
        </is>
      </c>
      <c r="T20" s="30" t="inlineStr">
        <is>
          <t>–</t>
        </is>
      </c>
      <c r="U20" s="30" t="n"/>
      <c r="V20" s="30" t="n"/>
      <c r="W20" s="30" t="n"/>
      <c r="X20" s="30" t="n"/>
      <c r="Y20" s="30" t="inlineStr">
        <is>
          <t>–</t>
        </is>
      </c>
      <c r="Z20" s="30" t="inlineStr">
        <is>
          <t>–</t>
        </is>
      </c>
      <c r="AA20" s="30" t="n"/>
      <c r="AB20" s="29">
        <f>COUNTA($C20:$AA20)</f>
        <v/>
      </c>
      <c r="AC20" s="29">
        <f>COUNTIF($C20:$AA20,"OK")</f>
        <v/>
      </c>
      <c r="AD20" s="30" t="inlineStr"/>
      <c r="AE20" s="30" t="inlineStr"/>
      <c r="AF20" s="30" t="inlineStr"/>
      <c r="AG20" s="30" t="inlineStr"/>
      <c r="AH20" s="30" t="inlineStr"/>
    </row>
    <row r="21">
      <c r="A21" s="10" t="inlineStr">
        <is>
          <t>Label Alignment</t>
        </is>
      </c>
      <c r="B21" s="8" t="inlineStr">
        <is>
          <t>Startup &amp; Every 30 Min</t>
        </is>
      </c>
      <c r="C21" s="12" t="inlineStr">
        <is>
          <t>OK</t>
        </is>
      </c>
      <c r="D21" s="12" t="inlineStr">
        <is>
          <t>OK</t>
        </is>
      </c>
      <c r="E21" s="12" t="inlineStr">
        <is>
          <t>OK</t>
        </is>
      </c>
      <c r="F21" s="12" t="inlineStr">
        <is>
          <t>OK</t>
        </is>
      </c>
      <c r="G21" s="12" t="n"/>
      <c r="H21" s="12" t="n"/>
      <c r="I21" s="12" t="inlineStr">
        <is>
          <t>OK</t>
        </is>
      </c>
      <c r="J21" s="12" t="inlineStr">
        <is>
          <t>OK</t>
        </is>
      </c>
      <c r="K21" s="12" t="inlineStr">
        <is>
          <t>OK</t>
        </is>
      </c>
      <c r="L21" s="12" t="inlineStr">
        <is>
          <t>OK</t>
        </is>
      </c>
      <c r="M21" s="12" t="inlineStr">
        <is>
          <t>OK</t>
        </is>
      </c>
      <c r="N21" s="12" t="inlineStr">
        <is>
          <t>OK</t>
        </is>
      </c>
      <c r="O21" s="12" t="inlineStr">
        <is>
          <t>OK</t>
        </is>
      </c>
      <c r="P21" s="12" t="inlineStr">
        <is>
          <t>OK</t>
        </is>
      </c>
      <c r="Q21" s="12" t="inlineStr">
        <is>
          <t>OK</t>
        </is>
      </c>
      <c r="R21" s="12" t="inlineStr">
        <is>
          <t>OK</t>
        </is>
      </c>
      <c r="S21" s="12" t="inlineStr">
        <is>
          <t>OK</t>
        </is>
      </c>
      <c r="T21" s="12" t="inlineStr">
        <is>
          <t>OK</t>
        </is>
      </c>
      <c r="U21" s="12" t="n"/>
      <c r="V21" s="12" t="n"/>
      <c r="W21" s="12" t="n"/>
      <c r="X21" s="12" t="n"/>
      <c r="Y21" s="12" t="inlineStr">
        <is>
          <t>OK</t>
        </is>
      </c>
      <c r="Z21" s="12" t="inlineStr">
        <is>
          <t>OK</t>
        </is>
      </c>
      <c r="AA21" s="12" t="n"/>
      <c r="AB21" s="24">
        <f>COUNTA($C21:$AA21)</f>
        <v/>
      </c>
      <c r="AC21" s="24">
        <f>COUNTIF($C21:$AA21,"OK")</f>
        <v/>
      </c>
      <c r="AD21" s="12" t="inlineStr"/>
      <c r="AE21" s="12" t="inlineStr"/>
      <c r="AF21" s="12" t="inlineStr"/>
      <c r="AG21" s="12" t="inlineStr"/>
      <c r="AH21" s="12" t="inlineStr"/>
    </row>
    <row r="22">
      <c r="A22" s="26" t="inlineStr">
        <is>
          <t>Glue Application</t>
        </is>
      </c>
      <c r="B22" s="27" t="inlineStr">
        <is>
          <t>Startup &amp; Every 30 Min</t>
        </is>
      </c>
      <c r="C22" s="30" t="inlineStr">
        <is>
          <t>OK</t>
        </is>
      </c>
      <c r="D22" s="30" t="inlineStr">
        <is>
          <t>OK</t>
        </is>
      </c>
      <c r="E22" s="30" t="inlineStr">
        <is>
          <t>OK</t>
        </is>
      </c>
      <c r="F22" s="30" t="inlineStr">
        <is>
          <t>OK</t>
        </is>
      </c>
      <c r="G22" s="30" t="n"/>
      <c r="H22" s="30" t="n"/>
      <c r="I22" s="30" t="inlineStr">
        <is>
          <t>OK</t>
        </is>
      </c>
      <c r="J22" s="30" t="inlineStr">
        <is>
          <t>OK</t>
        </is>
      </c>
      <c r="K22" s="30" t="inlineStr">
        <is>
          <t>OK</t>
        </is>
      </c>
      <c r="L22" s="30" t="inlineStr">
        <is>
          <t>OK</t>
        </is>
      </c>
      <c r="M22" s="30" t="inlineStr">
        <is>
          <t>OK</t>
        </is>
      </c>
      <c r="N22" s="30" t="inlineStr">
        <is>
          <t>OK</t>
        </is>
      </c>
      <c r="O22" s="30" t="inlineStr">
        <is>
          <t>OK</t>
        </is>
      </c>
      <c r="P22" s="30" t="inlineStr">
        <is>
          <t>OK</t>
        </is>
      </c>
      <c r="Q22" s="30" t="inlineStr">
        <is>
          <t>OK</t>
        </is>
      </c>
      <c r="R22" s="30" t="inlineStr">
        <is>
          <t>OK</t>
        </is>
      </c>
      <c r="S22" s="30" t="inlineStr">
        <is>
          <t>OK</t>
        </is>
      </c>
      <c r="T22" s="30" t="inlineStr">
        <is>
          <t>OK</t>
        </is>
      </c>
      <c r="U22" s="30" t="n"/>
      <c r="V22" s="30" t="n"/>
      <c r="W22" s="30" t="n"/>
      <c r="X22" s="30" t="n"/>
      <c r="Y22" s="30" t="inlineStr">
        <is>
          <t>OK</t>
        </is>
      </c>
      <c r="Z22" s="30" t="inlineStr">
        <is>
          <t>OK</t>
        </is>
      </c>
      <c r="AA22" s="30" t="n"/>
      <c r="AB22" s="29">
        <f>COUNTA($C22:$AA22)</f>
        <v/>
      </c>
      <c r="AC22" s="29">
        <f>COUNTIF($C22:$AA22,"OK")</f>
        <v/>
      </c>
      <c r="AD22" s="30" t="inlineStr"/>
      <c r="AE22" s="30" t="inlineStr"/>
      <c r="AF22" s="30" t="inlineStr"/>
      <c r="AG22" s="30" t="inlineStr"/>
      <c r="AH22" s="30" t="inlineStr"/>
    </row>
    <row r="23">
      <c r="A23" s="10" t="inlineStr">
        <is>
          <t>Primary Coding</t>
        </is>
      </c>
      <c r="B23" s="8" t="inlineStr">
        <is>
          <t>Startup &amp; Every 30 Min</t>
        </is>
      </c>
      <c r="C23" s="12" t="inlineStr">
        <is>
          <t>OK</t>
        </is>
      </c>
      <c r="D23" s="12" t="inlineStr">
        <is>
          <t>OK</t>
        </is>
      </c>
      <c r="E23" s="12" t="inlineStr">
        <is>
          <t>OK</t>
        </is>
      </c>
      <c r="F23" s="12" t="inlineStr">
        <is>
          <t>OK</t>
        </is>
      </c>
      <c r="G23" s="12" t="n"/>
      <c r="H23" s="12" t="n"/>
      <c r="I23" s="12" t="inlineStr">
        <is>
          <t>OK</t>
        </is>
      </c>
      <c r="J23" s="12" t="inlineStr">
        <is>
          <t>OK</t>
        </is>
      </c>
      <c r="K23" s="12" t="inlineStr">
        <is>
          <t>OK</t>
        </is>
      </c>
      <c r="L23" s="12" t="inlineStr">
        <is>
          <t>OK</t>
        </is>
      </c>
      <c r="M23" s="12" t="inlineStr">
        <is>
          <t>OK</t>
        </is>
      </c>
      <c r="N23" s="12" t="inlineStr">
        <is>
          <t>OK</t>
        </is>
      </c>
      <c r="O23" s="12" t="inlineStr">
        <is>
          <t>OK</t>
        </is>
      </c>
      <c r="P23" s="12" t="inlineStr">
        <is>
          <t>OK</t>
        </is>
      </c>
      <c r="Q23" s="12" t="inlineStr">
        <is>
          <t>OK</t>
        </is>
      </c>
      <c r="R23" s="12" t="inlineStr">
        <is>
          <t>OK</t>
        </is>
      </c>
      <c r="S23" s="12" t="inlineStr">
        <is>
          <t>OK</t>
        </is>
      </c>
      <c r="T23" s="12" t="inlineStr">
        <is>
          <t>OK</t>
        </is>
      </c>
      <c r="U23" s="12" t="n"/>
      <c r="V23" s="12" t="n"/>
      <c r="W23" s="12" t="n"/>
      <c r="X23" s="12" t="n"/>
      <c r="Y23" s="12" t="inlineStr">
        <is>
          <t>OK</t>
        </is>
      </c>
      <c r="Z23" s="12" t="inlineStr">
        <is>
          <t>OK</t>
        </is>
      </c>
      <c r="AA23" s="12" t="n"/>
      <c r="AB23" s="24">
        <f>COUNTA($C23:$AA23)</f>
        <v/>
      </c>
      <c r="AC23" s="24">
        <f>COUNTIF($C23:$AA23,"OK")</f>
        <v/>
      </c>
      <c r="AD23" s="12" t="inlineStr"/>
      <c r="AE23" s="12" t="inlineStr"/>
      <c r="AF23" s="12" t="inlineStr"/>
      <c r="AG23" s="12" t="inlineStr"/>
      <c r="AH23" s="12" t="inlineStr"/>
    </row>
    <row r="24">
      <c r="A24" s="26" t="inlineStr">
        <is>
          <t>Shrink packing Quality</t>
        </is>
      </c>
      <c r="B24" s="27" t="inlineStr">
        <is>
          <t>Startup &amp; Every Hour</t>
        </is>
      </c>
      <c r="C24" s="30" t="inlineStr">
        <is>
          <t>OK</t>
        </is>
      </c>
      <c r="D24" s="30" t="inlineStr">
        <is>
          <t>OK</t>
        </is>
      </c>
      <c r="E24" s="30" t="inlineStr">
        <is>
          <t>OK</t>
        </is>
      </c>
      <c r="F24" s="30" t="inlineStr">
        <is>
          <t>OK</t>
        </is>
      </c>
      <c r="G24" s="30" t="n"/>
      <c r="H24" s="30" t="n"/>
      <c r="I24" s="30" t="inlineStr">
        <is>
          <t>OK</t>
        </is>
      </c>
      <c r="J24" s="30" t="inlineStr">
        <is>
          <t>OK</t>
        </is>
      </c>
      <c r="K24" s="30" t="inlineStr">
        <is>
          <t>OK</t>
        </is>
      </c>
      <c r="L24" s="30" t="inlineStr">
        <is>
          <t>OK</t>
        </is>
      </c>
      <c r="M24" s="30" t="inlineStr">
        <is>
          <t>OK</t>
        </is>
      </c>
      <c r="N24" s="30" t="inlineStr">
        <is>
          <t>OK</t>
        </is>
      </c>
      <c r="O24" s="30" t="inlineStr">
        <is>
          <t>OK</t>
        </is>
      </c>
      <c r="P24" s="30" t="inlineStr">
        <is>
          <t>OK</t>
        </is>
      </c>
      <c r="Q24" s="30" t="inlineStr">
        <is>
          <t>OK</t>
        </is>
      </c>
      <c r="R24" s="30" t="inlineStr">
        <is>
          <t>OK</t>
        </is>
      </c>
      <c r="S24" s="30" t="inlineStr">
        <is>
          <t>OK</t>
        </is>
      </c>
      <c r="T24" s="30" t="inlineStr">
        <is>
          <t>OK</t>
        </is>
      </c>
      <c r="U24" s="30" t="n"/>
      <c r="V24" s="30" t="n"/>
      <c r="W24" s="30" t="n"/>
      <c r="X24" s="30" t="n"/>
      <c r="Y24" s="30" t="inlineStr">
        <is>
          <t>OK</t>
        </is>
      </c>
      <c r="Z24" s="30" t="inlineStr">
        <is>
          <t>OK</t>
        </is>
      </c>
      <c r="AA24" s="30" t="n"/>
      <c r="AB24" s="29">
        <f>COUNTA($C24:$AA24)</f>
        <v/>
      </c>
      <c r="AC24" s="29">
        <f>COUNTIF($C24:$AA24,"OK")</f>
        <v/>
      </c>
      <c r="AD24" s="30" t="inlineStr"/>
      <c r="AE24" s="30" t="inlineStr"/>
      <c r="AF24" s="30" t="inlineStr"/>
      <c r="AG24" s="30" t="inlineStr"/>
      <c r="AH24" s="30" t="inlineStr"/>
    </row>
    <row r="25">
      <c r="A25" s="10" t="inlineStr">
        <is>
          <t>Torque</t>
        </is>
      </c>
      <c r="B25" s="8" t="inlineStr">
        <is>
          <t>All Capper Heads Start Up &amp; Every 2 Hours</t>
        </is>
      </c>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24">
        <f>COUNTA($C25:$AA25)</f>
        <v/>
      </c>
      <c r="AC25" s="24">
        <f>COUNTIF($C25:$AA25,"OK")</f>
        <v/>
      </c>
      <c r="AD25" s="12" t="inlineStr"/>
      <c r="AE25" s="12" t="inlineStr"/>
      <c r="AF25" s="12" t="inlineStr"/>
      <c r="AG25" s="12" t="inlineStr"/>
      <c r="AH25" s="12" t="inlineStr"/>
    </row>
    <row r="26">
      <c r="A26" s="26" t="inlineStr">
        <is>
          <t>Closure Lot No.</t>
        </is>
      </c>
      <c r="B26" s="27" t="inlineStr"/>
      <c r="C26" s="30" t="n"/>
      <c r="D26" s="30" t="n"/>
      <c r="E26" s="30" t="n"/>
      <c r="F26" s="30" t="n"/>
      <c r="G26" s="30" t="n"/>
      <c r="H26" s="30" t="n"/>
      <c r="I26" s="30" t="n"/>
      <c r="J26" s="30" t="n"/>
      <c r="K26" s="30" t="n"/>
      <c r="L26" s="30" t="n"/>
      <c r="M26" s="30" t="n"/>
      <c r="N26" s="30" t="n"/>
      <c r="O26" s="30" t="n"/>
      <c r="P26" s="30" t="n"/>
      <c r="Q26" s="30" t="n"/>
      <c r="R26" s="30" t="n"/>
      <c r="S26" s="30" t="n"/>
      <c r="T26" s="30" t="n"/>
      <c r="U26" s="30" t="n"/>
      <c r="V26" s="30" t="n"/>
      <c r="W26" s="30" t="n"/>
      <c r="X26" s="30" t="n"/>
      <c r="Y26" s="30" t="n"/>
      <c r="Z26" s="30" t="n"/>
      <c r="AA26" s="30" t="n"/>
      <c r="AB26" s="29">
        <f>COUNTA($C26:$AA26)</f>
        <v/>
      </c>
      <c r="AC26" s="29">
        <f>COUNTIF($C26:$AA26,"OK")</f>
        <v/>
      </c>
      <c r="AD26" s="30" t="inlineStr"/>
      <c r="AE26" s="30" t="inlineStr"/>
      <c r="AF26" s="30" t="inlineStr"/>
      <c r="AG26" s="30" t="inlineStr"/>
      <c r="AH26" s="30" t="inlineStr"/>
    </row>
    <row r="27">
      <c r="A27" s="10" t="inlineStr">
        <is>
          <t>Label Lot No.</t>
        </is>
      </c>
      <c r="B27" s="8" t="inlineStr"/>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c r="AA27" s="12" t="n"/>
      <c r="AB27" s="24">
        <f>COUNTA($C27:$AA27)</f>
        <v/>
      </c>
      <c r="AC27" s="24">
        <f>COUNTIF($C27:$AA27,"OK")</f>
        <v/>
      </c>
      <c r="AD27" s="12" t="inlineStr"/>
      <c r="AE27" s="12" t="inlineStr"/>
      <c r="AF27" s="12" t="inlineStr"/>
      <c r="AG27" s="12" t="inlineStr"/>
      <c r="AH27" s="12" t="inlineStr"/>
    </row>
    <row r="28">
      <c r="A28" s="26" t="inlineStr">
        <is>
          <t>Preform Lot No.</t>
        </is>
      </c>
      <c r="B28" s="27" t="inlineStr"/>
      <c r="C28" s="30" t="n"/>
      <c r="D28" s="30" t="n"/>
      <c r="E28" s="30" t="n"/>
      <c r="F28" s="30" t="n"/>
      <c r="G28" s="30" t="n"/>
      <c r="H28" s="30" t="n"/>
      <c r="I28" s="30" t="n"/>
      <c r="J28" s="30" t="n"/>
      <c r="K28" s="30" t="n"/>
      <c r="L28" s="30" t="n"/>
      <c r="M28" s="30" t="n"/>
      <c r="N28" s="30" t="n"/>
      <c r="O28" s="30" t="n"/>
      <c r="P28" s="30" t="n"/>
      <c r="Q28" s="30" t="n"/>
      <c r="R28" s="30" t="n"/>
      <c r="S28" s="30" t="n"/>
      <c r="T28" s="30" t="n"/>
      <c r="U28" s="30" t="n"/>
      <c r="V28" s="30" t="n"/>
      <c r="W28" s="30" t="n"/>
      <c r="X28" s="30" t="n"/>
      <c r="Y28" s="30" t="n"/>
      <c r="Z28" s="30" t="n"/>
      <c r="AA28" s="30" t="n"/>
      <c r="AB28" s="29">
        <f>COUNTA($C28:$AA28)</f>
        <v/>
      </c>
      <c r="AC28" s="29">
        <f>COUNTIF($C28:$AA28,"OK")</f>
        <v/>
      </c>
      <c r="AD28" s="30" t="inlineStr"/>
      <c r="AE28" s="30" t="inlineStr"/>
      <c r="AF28" s="30" t="inlineStr"/>
      <c r="AG28" s="30" t="inlineStr"/>
      <c r="AH28" s="30" t="inlineStr"/>
    </row>
    <row r="29">
      <c r="A29" s="33" t="inlineStr">
        <is>
          <t>Parameters filled in this column</t>
        </is>
      </c>
      <c r="B29" s="34" t="inlineStr">
        <is>
          <t>(live count)</t>
        </is>
      </c>
      <c r="C29" s="35">
        <f>COUNTA(C11:C28)</f>
        <v/>
      </c>
      <c r="D29" s="35">
        <f>COUNTA(D11:D28)</f>
        <v/>
      </c>
      <c r="E29" s="35">
        <f>COUNTA(E11:E28)</f>
        <v/>
      </c>
      <c r="F29" s="35">
        <f>COUNTA(F11:F28)</f>
        <v/>
      </c>
      <c r="G29" s="35">
        <f>COUNTA(G11:G28)</f>
        <v/>
      </c>
      <c r="H29" s="35">
        <f>COUNTA(H11:H28)</f>
        <v/>
      </c>
      <c r="I29" s="35">
        <f>COUNTA(I11:I28)</f>
        <v/>
      </c>
      <c r="J29" s="35">
        <f>COUNTA(J11:J28)</f>
        <v/>
      </c>
      <c r="K29" s="35">
        <f>COUNTA(K11:K28)</f>
        <v/>
      </c>
      <c r="L29" s="35">
        <f>COUNTA(L11:L28)</f>
        <v/>
      </c>
      <c r="M29" s="35">
        <f>COUNTA(M11:M28)</f>
        <v/>
      </c>
      <c r="N29" s="35">
        <f>COUNTA(N11:N28)</f>
        <v/>
      </c>
      <c r="O29" s="35">
        <f>COUNTA(O11:O28)</f>
        <v/>
      </c>
      <c r="P29" s="35">
        <f>COUNTA(P11:P28)</f>
        <v/>
      </c>
      <c r="Q29" s="35">
        <f>COUNTA(Q11:Q28)</f>
        <v/>
      </c>
      <c r="R29" s="35">
        <f>COUNTA(R11:R28)</f>
        <v/>
      </c>
      <c r="S29" s="35">
        <f>COUNTA(S11:S28)</f>
        <v/>
      </c>
      <c r="T29" s="35">
        <f>COUNTA(T11:T28)</f>
        <v/>
      </c>
      <c r="U29" s="35">
        <f>COUNTA(U11:U28)</f>
        <v/>
      </c>
      <c r="V29" s="35">
        <f>COUNTA(V11:V28)</f>
        <v/>
      </c>
      <c r="W29" s="35">
        <f>COUNTA(W11:W28)</f>
        <v/>
      </c>
      <c r="X29" s="35">
        <f>COUNTA(X11:X28)</f>
        <v/>
      </c>
      <c r="Y29" s="35">
        <f>COUNTA(Y11:Y28)</f>
        <v/>
      </c>
      <c r="Z29" s="35">
        <f>COUNTA(Z11:Z28)</f>
        <v/>
      </c>
      <c r="AA29" s="35">
        <f>COUNTA(AA11:AA28)</f>
        <v/>
      </c>
      <c r="AB29" s="36">
        <f>SUM(C29:AA29)</f>
        <v/>
      </c>
      <c r="AC29" s="35" t="inlineStr"/>
      <c r="AD29" s="35" t="inlineStr"/>
      <c r="AE29" s="35" t="inlineStr"/>
      <c r="AF29" s="35" t="inlineStr"/>
      <c r="AG29" s="36">
        <f>SUM(AG11:AG28)</f>
        <v/>
      </c>
      <c r="AH29" s="36">
        <f>SUM(AH11:AH28)</f>
        <v/>
      </c>
    </row>
    <row r="31" ht="18" customHeight="1">
      <c r="A31" s="3" t="inlineStr">
        <is>
          <t>Annotations written on the form</t>
        </is>
      </c>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row>
    <row r="32">
      <c r="A32" s="9" t="inlineStr">
        <is>
          <t>Where</t>
        </is>
      </c>
      <c r="B32" s="37" t="inlineStr">
        <is>
          <t>What the chemist wrote</t>
        </is>
      </c>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c r="AA32" s="38" t="n"/>
      <c r="AB32" s="38" t="n"/>
      <c r="AC32" s="38" t="n"/>
      <c r="AD32" s="38" t="n"/>
      <c r="AE32" s="38" t="n"/>
      <c r="AF32" s="38" t="n"/>
      <c r="AG32" s="38" t="n"/>
      <c r="AH32" s="38" t="n"/>
    </row>
    <row r="33" ht="30" customHeight="1">
      <c r="A33" s="18" t="inlineStr">
        <is>
          <t>05:00 - 06:30 columns</t>
        </is>
      </c>
      <c r="B33" s="17" t="inlineStr">
        <is>
          <t>Vertical notes: "Filler Stop" and "15 min", bracketed across these columns - no readings logged for 05:00-06:30. Small markers "1" and "2" are written at the head of the 05:00 and 06:30 columns.</t>
        </is>
      </c>
    </row>
    <row r="34" ht="30" customHeight="1">
      <c r="A34" s="18" t="inlineStr">
        <is>
          <t>10:00 - 10:30 columns</t>
        </is>
      </c>
      <c r="B34" s="17" t="inlineStr">
        <is>
          <t>No readings logged; no explanatory note written on the form.</t>
        </is>
      </c>
    </row>
    <row r="36">
      <c r="A36" s="6" t="inlineStr">
        <is>
          <t>Remark (as written on form)</t>
        </is>
      </c>
      <c r="B36" s="17" t="inlineStr">
        <is>
          <t>(left blank on the form)</t>
        </is>
      </c>
    </row>
    <row r="37">
      <c r="A37" s="6" t="inlineStr">
        <is>
          <t>QC Chemist</t>
        </is>
      </c>
      <c r="B37" s="11" t="inlineStr">
        <is>
          <t>Pammee Singh</t>
        </is>
      </c>
      <c r="E37" s="6" t="inlineStr">
        <is>
          <t>QC Manager</t>
        </is>
      </c>
      <c r="F37" s="19" t="n"/>
      <c r="G37" s="19" t="n"/>
      <c r="H37" s="19" t="n"/>
      <c r="I37" s="11" t="inlineStr">
        <is>
          <t>(initialled)</t>
        </is>
      </c>
      <c r="J37" s="13" t="n"/>
      <c r="K37" s="13" t="n"/>
      <c r="L37" s="13" t="n"/>
    </row>
    <row r="38" ht="32" customHeight="1">
      <c r="A38" s="39" t="inlineStr">
        <is>
          <t>Note below the table</t>
        </is>
      </c>
      <c r="B38" s="17" t="inlineStr">
        <is>
          <t>Handwritten below the table: "MC2 Original 250 ml Pyramid / 3500 previously washed bottle / were run on the production line / time 7:00 Pm start ..." (final line runs off the bottom edge of the photograph)</t>
        </is>
      </c>
    </row>
    <row r="40" ht="18" customHeight="1">
      <c r="A40" s="3" t="inlineStr">
        <is>
          <t>Notes on this sheet</t>
        </is>
      </c>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row>
    <row r="41" ht="26" customHeight="1">
      <c r="A41" s="8" t="inlineStr">
        <is>
          <t>•  Blank cell = left blank on the paper form.   – = a dash was written (the test was not due at that interval).   OK = written as OK.</t>
        </is>
      </c>
    </row>
    <row r="42" ht="26" customHeight="1">
      <c r="A42" s="8" t="inlineStr">
        <is>
          <t>•  The 24-hour row under the printed times is our addition; the form prints 12-hour times with no am/pm marker.</t>
        </is>
      </c>
    </row>
    <row r="43" ht="26" customHeight="1">
      <c r="A43" s="8" t="inlineStr">
        <is>
          <t>•  Entries / OK count / Min / Max / Average / pair columns are live formulas over the time columns to their left - correct any reading and they re-derive.</t>
        </is>
      </c>
    </row>
    <row r="44" ht="26" customHeight="1">
      <c r="A44" s="8" t="inlineStr">
        <is>
          <t>•  “:00/:30 pairs” counts the paired readings actually written; “Pairs differing” counts pairs whose two halves are not identical. That is the accuracy check for this form, which carries no arithmetic column.</t>
        </is>
      </c>
    </row>
    <row r="45" ht="26" customHeight="1">
      <c r="A45" s="8" t="inlineStr">
        <is>
          <t>•  Cells carrying a red figure have a comment attached explaining the ambiguity or source anomaly.</t>
        </is>
      </c>
    </row>
    <row r="46" ht="26" customHeight="1">
      <c r="A46" s="8" t="inlineStr">
        <is>
          <t>•  FLAGGED - Temperature at 12:00: Digits are legible, but this breaks the :00/:30 pairing used everywhere else on the sheet (12:30 reads 10.1) and sits well below every other temperature logged that day (7.4-13.1). Transcribed exactly as written. Recommend verifying against the original paper record.</t>
        </is>
      </c>
    </row>
  </sheetData>
  <mergeCells count="25">
    <mergeCell ref="A2:AH2"/>
    <mergeCell ref="A42:AH42"/>
    <mergeCell ref="E5:I5"/>
    <mergeCell ref="E37:H37"/>
    <mergeCell ref="E4:I4"/>
    <mergeCell ref="A43:AH43"/>
    <mergeCell ref="B38:AH38"/>
    <mergeCell ref="A44:AH44"/>
    <mergeCell ref="B34:AH34"/>
    <mergeCell ref="A31:AH31"/>
    <mergeCell ref="J5:M5"/>
    <mergeCell ref="A40:AH40"/>
    <mergeCell ref="E6:I6"/>
    <mergeCell ref="B33:AH33"/>
    <mergeCell ref="A1:AH1"/>
    <mergeCell ref="J6:M6"/>
    <mergeCell ref="A45:AH45"/>
    <mergeCell ref="B36:AH36"/>
    <mergeCell ref="I37:L37"/>
    <mergeCell ref="B32:AH32"/>
    <mergeCell ref="E7:I7"/>
    <mergeCell ref="J4:M4"/>
    <mergeCell ref="A41:AH41"/>
    <mergeCell ref="A46:AH46"/>
    <mergeCell ref="J7:M7"/>
  </mergeCells>
  <conditionalFormatting sqref="AH11:AH29">
    <cfRule type="cellIs" priority="1" operator="greaterThan" dxfId="0">
      <formula>0</formula>
    </cfRule>
  </conditionalFormatting>
  <printOptions horizontalCentered="1"/>
  <pageMargins left="0.75" right="0.75" top="1" bottom="1" header="0.5" footer="0.5"/>
  <pageSetup orientation="landscape" fitToHeight="0" fitToWidth="1"/>
  <legacyDrawing xmlns:r="http://schemas.openxmlformats.org/officeDocument/2006/relationships" r:id="anysvml"/>
</worksheet>
</file>

<file path=xl/worksheets/sheet5.xml><?xml version="1.0" encoding="utf-8"?>
<worksheet xmlns="http://schemas.openxmlformats.org/spreadsheetml/2006/main">
  <sheetPr>
    <tabColor rgb="00C55A11"/>
    <outlinePr summaryBelow="1" summaryRight="1"/>
    <pageSetUpPr fitToPage="1"/>
  </sheetPr>
  <dimension ref="A1:S47"/>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15" customWidth="1" min="1" max="1"/>
    <col width="29" customWidth="1" min="2" max="2"/>
    <col width="8.4" customWidth="1" min="3" max="3"/>
    <col width="8.4" customWidth="1" min="4" max="4"/>
    <col width="8.4" customWidth="1" min="5" max="5"/>
    <col width="8.4" customWidth="1" min="6" max="6"/>
    <col width="8.4" customWidth="1" min="7" max="7"/>
    <col width="8.4" customWidth="1" min="8" max="8"/>
    <col width="8.4" customWidth="1" min="9" max="9"/>
    <col width="8.4" customWidth="1" min="10" max="10"/>
    <col width="8.4" customWidth="1" min="11" max="11"/>
    <col width="8.4" customWidth="1" min="12" max="12"/>
    <col width="8.4" customWidth="1" min="13" max="13"/>
    <col width="8.4" customWidth="1" min="14" max="14"/>
    <col width="8.4" customWidth="1" min="15" max="15"/>
    <col width="8.4" customWidth="1" min="16" max="16"/>
    <col width="8.4" customWidth="1" min="17" max="17"/>
    <col width="14" customWidth="1" min="18" max="18"/>
    <col width="24" customWidth="1" min="19" max="19"/>
  </cols>
  <sheetData>
    <row r="1" ht="24" customHeight="1">
      <c r="A1" s="1" t="inlineStr">
        <is>
          <t>ASIAN LAKTO INDUSTRIES LTD</t>
        </is>
      </c>
      <c r="B1" s="2" t="n"/>
      <c r="C1" s="2" t="n"/>
      <c r="D1" s="2" t="n"/>
      <c r="E1" s="2" t="n"/>
      <c r="F1" s="2" t="n"/>
      <c r="G1" s="2" t="n"/>
      <c r="H1" s="2" t="n"/>
      <c r="I1" s="2" t="n"/>
      <c r="J1" s="2" t="n"/>
      <c r="K1" s="2" t="n"/>
      <c r="L1" s="2" t="n"/>
      <c r="M1" s="2" t="n"/>
      <c r="N1" s="2" t="n"/>
      <c r="O1" s="2" t="n"/>
      <c r="P1" s="2" t="n"/>
      <c r="Q1" s="2" t="n"/>
      <c r="R1" s="2" t="n"/>
      <c r="S1" s="2" t="n"/>
    </row>
    <row r="2" ht="20" customHeight="1">
      <c r="A2" s="3" t="inlineStr">
        <is>
          <t>TORQUE TESTING REPORT (HYMECH LINE)</t>
        </is>
      </c>
      <c r="B2" s="4" t="n"/>
      <c r="C2" s="4" t="n"/>
      <c r="D2" s="4" t="n"/>
      <c r="E2" s="4" t="n"/>
      <c r="F2" s="4" t="n"/>
      <c r="G2" s="4" t="n"/>
      <c r="H2" s="4" t="n"/>
      <c r="I2" s="4" t="n"/>
      <c r="J2" s="4" t="n"/>
      <c r="K2" s="4" t="n"/>
      <c r="L2" s="4" t="n"/>
      <c r="M2" s="4" t="n"/>
      <c r="N2" s="4" t="n"/>
      <c r="O2" s="4" t="n"/>
      <c r="P2" s="4" t="n"/>
      <c r="Q2" s="4" t="n"/>
      <c r="R2" s="4" t="n"/>
      <c r="S2" s="4" t="n"/>
    </row>
    <row r="3" ht="15" customHeight="1">
      <c r="A3" s="40" t="inlineStr">
        <is>
          <t>transcribed from Photo 4 (PDF page 4)</t>
        </is>
      </c>
      <c r="B3" s="41" t="n"/>
      <c r="C3" s="41" t="n"/>
      <c r="D3" s="41" t="n"/>
      <c r="E3" s="41" t="n"/>
      <c r="F3" s="41" t="n"/>
      <c r="G3" s="41" t="n"/>
      <c r="H3" s="41" t="n"/>
      <c r="I3" s="41" t="n"/>
      <c r="J3" s="41" t="n"/>
      <c r="K3" s="41" t="n"/>
      <c r="L3" s="41" t="n"/>
      <c r="M3" s="41" t="n"/>
      <c r="N3" s="41" t="n"/>
      <c r="O3" s="41" t="n"/>
      <c r="P3" s="41" t="n"/>
      <c r="Q3" s="41" t="n"/>
      <c r="R3" s="41" t="n"/>
      <c r="S3" s="41" t="n"/>
    </row>
    <row r="5">
      <c r="A5" s="6" t="inlineStr">
        <is>
          <t>DATE</t>
        </is>
      </c>
      <c r="B5" s="11" t="inlineStr">
        <is>
          <t>17/08/26</t>
        </is>
      </c>
      <c r="E5" s="6" t="inlineStr">
        <is>
          <t>SHIFT</t>
        </is>
      </c>
      <c r="F5" s="11" t="inlineStr">
        <is>
          <t>Day</t>
        </is>
      </c>
    </row>
    <row r="6">
      <c r="A6" s="6" t="inlineStr">
        <is>
          <t>PRODUCT</t>
        </is>
      </c>
      <c r="B6" s="11" t="inlineStr">
        <is>
          <t>MC2 Original 250 ml</t>
        </is>
      </c>
      <c r="E6" s="6" t="inlineStr">
        <is>
          <t>CHEMIST NAME</t>
        </is>
      </c>
      <c r="F6" s="11" t="inlineStr">
        <is>
          <t>Pammee</t>
        </is>
      </c>
    </row>
    <row r="7">
      <c r="A7" s="6" t="inlineStr">
        <is>
          <t>CAP MAKE</t>
        </is>
      </c>
      <c r="B7" s="11" t="inlineStr">
        <is>
          <t>MD</t>
        </is>
      </c>
    </row>
    <row r="8">
      <c r="A8" s="8">
        <f>"Acceptance band used by the checks below: "&amp;TEXT(SPEC_LOW,"0.0")&amp;" to "&amp;TEXT(SPEC_HIGH,"0.0")&amp;" lb-in  (editable on the Index &amp; Checks sheet - the form itself prints no limits)"</f>
        <v/>
      </c>
    </row>
    <row r="9">
      <c r="A9" s="42" t="inlineStr"/>
      <c r="B9" s="42" t="inlineStr"/>
      <c r="C9" s="42" t="inlineStr">
        <is>
          <t>CAPPER HEAD</t>
        </is>
      </c>
      <c r="D9" s="4" t="n"/>
      <c r="E9" s="4" t="n"/>
      <c r="F9" s="4" t="n"/>
      <c r="G9" s="4" t="n"/>
      <c r="H9" s="4" t="n"/>
      <c r="I9" s="4" t="n"/>
      <c r="J9" s="4" t="n"/>
      <c r="K9" s="4" t="n"/>
      <c r="L9" s="4" t="n"/>
      <c r="M9" s="4" t="n"/>
      <c r="N9" s="4" t="n"/>
      <c r="O9" s="4" t="n"/>
      <c r="P9" s="4" t="n"/>
      <c r="Q9" s="4" t="n"/>
      <c r="R9" s="42" t="inlineStr"/>
      <c r="S9" s="42" t="inlineStr"/>
    </row>
    <row r="10">
      <c r="A10" s="9" t="inlineStr">
        <is>
          <t>TIME</t>
        </is>
      </c>
      <c r="B10" s="9" t="inlineStr">
        <is>
          <t>Entry</t>
        </is>
      </c>
      <c r="C10" s="9" t="n">
        <v>1</v>
      </c>
      <c r="D10" s="9" t="n">
        <v>2</v>
      </c>
      <c r="E10" s="9" t="n">
        <v>3</v>
      </c>
      <c r="F10" s="9" t="n">
        <v>4</v>
      </c>
      <c r="G10" s="9" t="n">
        <v>5</v>
      </c>
      <c r="H10" s="9" t="n">
        <v>6</v>
      </c>
      <c r="I10" s="9" t="n">
        <v>7</v>
      </c>
      <c r="J10" s="9" t="n">
        <v>8</v>
      </c>
      <c r="K10" s="9" t="n">
        <v>9</v>
      </c>
      <c r="L10" s="9" t="n">
        <v>10</v>
      </c>
      <c r="M10" s="9" t="n">
        <v>11</v>
      </c>
      <c r="N10" s="9" t="n">
        <v>12</v>
      </c>
      <c r="O10" s="9" t="n">
        <v>13</v>
      </c>
      <c r="P10" s="9" t="n">
        <v>14</v>
      </c>
      <c r="Q10" s="9" t="n">
        <v>15</v>
      </c>
      <c r="R10" s="9" t="inlineStr">
        <is>
          <t>REMARK</t>
        </is>
      </c>
      <c r="S10" s="9" t="inlineStr"/>
    </row>
    <row r="11">
      <c r="A11" s="43" t="inlineStr">
        <is>
          <t>09:00</t>
        </is>
      </c>
      <c r="B11" s="44" t="inlineStr">
        <is>
          <t>Reading (lb-in)</t>
        </is>
      </c>
      <c r="C11" s="45" t="n"/>
      <c r="D11" s="45" t="n"/>
      <c r="E11" s="45" t="n"/>
      <c r="F11" s="45" t="n"/>
      <c r="G11" s="45" t="n"/>
      <c r="H11" s="45" t="n"/>
      <c r="I11" s="45" t="n"/>
      <c r="J11" s="45" t="n"/>
      <c r="K11" s="45" t="n"/>
      <c r="L11" s="45" t="n"/>
      <c r="M11" s="45" t="n"/>
      <c r="N11" s="45" t="n"/>
      <c r="O11" s="45" t="n"/>
      <c r="P11" s="45" t="n"/>
      <c r="Q11" s="45" t="n"/>
      <c r="R11" s="46" t="inlineStr"/>
      <c r="S11" s="44" t="inlineStr">
        <is>
          <t>not recorded</t>
        </is>
      </c>
    </row>
    <row r="12">
      <c r="A12" s="43" t="inlineStr"/>
      <c r="B12" s="44" t="inlineStr">
        <is>
          <t>Re-test / Result</t>
        </is>
      </c>
      <c r="C12" s="45" t="n"/>
      <c r="D12" s="45" t="n"/>
      <c r="E12" s="45" t="n"/>
      <c r="F12" s="45" t="n"/>
      <c r="G12" s="45" t="n"/>
      <c r="H12" s="45" t="n"/>
      <c r="I12" s="45" t="n"/>
      <c r="J12" s="45" t="n"/>
      <c r="K12" s="45" t="n"/>
      <c r="L12" s="45" t="n"/>
      <c r="M12" s="45" t="n"/>
      <c r="N12" s="45" t="n"/>
      <c r="O12" s="45" t="n"/>
      <c r="P12" s="45" t="n"/>
      <c r="Q12" s="45" t="n"/>
      <c r="R12" s="46" t="inlineStr"/>
      <c r="S12" s="44" t="inlineStr"/>
    </row>
    <row r="13">
      <c r="A13" s="47" t="inlineStr">
        <is>
          <t>11:00</t>
        </is>
      </c>
      <c r="B13" s="20" t="inlineStr">
        <is>
          <t>Reading (lb-in)</t>
        </is>
      </c>
      <c r="C13" s="23" t="n">
        <v>25.8</v>
      </c>
      <c r="D13" s="23" t="n">
        <v>10.1</v>
      </c>
      <c r="E13" s="23" t="n">
        <v>27.7</v>
      </c>
      <c r="F13" s="23" t="n">
        <v>15.9</v>
      </c>
      <c r="G13" s="23" t="n">
        <v>10.1</v>
      </c>
      <c r="H13" s="23" t="n">
        <v>10.2</v>
      </c>
      <c r="I13" s="23" t="n">
        <v>16.7</v>
      </c>
      <c r="J13" s="23" t="n">
        <v>10</v>
      </c>
      <c r="K13" s="23" t="n">
        <v>12.7</v>
      </c>
      <c r="L13" s="48" t="n">
        <v>6</v>
      </c>
      <c r="M13" s="23" t="n">
        <v>15.9</v>
      </c>
      <c r="N13" s="23" t="n">
        <v>10.3</v>
      </c>
      <c r="O13" s="23" t="n">
        <v>25.4</v>
      </c>
      <c r="P13" s="49" t="inlineStr">
        <is>
          <t>No open</t>
        </is>
      </c>
      <c r="Q13" s="23" t="n">
        <v>10</v>
      </c>
      <c r="R13" s="17" t="inlineStr"/>
      <c r="S13" s="20">
        <f>COUNT($C13:$Q13)&amp;" numeric"</f>
        <v/>
      </c>
    </row>
    <row r="14">
      <c r="A14" s="47" t="inlineStr"/>
      <c r="B14" s="20" t="inlineStr">
        <is>
          <t>Re-test / Result</t>
        </is>
      </c>
      <c r="C14" s="23" t="n">
        <v>12.3</v>
      </c>
      <c r="D14" s="12" t="inlineStr">
        <is>
          <t>OK</t>
        </is>
      </c>
      <c r="E14" s="23" t="n">
        <v>17.5</v>
      </c>
      <c r="F14" s="12" t="inlineStr">
        <is>
          <t>OK</t>
        </is>
      </c>
      <c r="G14" s="12" t="inlineStr">
        <is>
          <t>OK</t>
        </is>
      </c>
      <c r="H14" s="12" t="inlineStr">
        <is>
          <t>OK</t>
        </is>
      </c>
      <c r="I14" s="12" t="inlineStr">
        <is>
          <t>OK</t>
        </is>
      </c>
      <c r="J14" s="12" t="inlineStr">
        <is>
          <t>OK</t>
        </is>
      </c>
      <c r="K14" s="12" t="inlineStr">
        <is>
          <t>OK</t>
        </is>
      </c>
      <c r="L14" s="23" t="n">
        <v>10.8</v>
      </c>
      <c r="M14" s="12" t="inlineStr">
        <is>
          <t>OK</t>
        </is>
      </c>
      <c r="N14" s="12" t="inlineStr">
        <is>
          <t>OK</t>
        </is>
      </c>
      <c r="O14" s="23" t="n">
        <v>11.7</v>
      </c>
      <c r="P14" s="23" t="n">
        <v>16</v>
      </c>
      <c r="Q14" s="12" t="inlineStr">
        <is>
          <t>OK</t>
        </is>
      </c>
      <c r="R14" s="17" t="inlineStr"/>
      <c r="S14" s="20" t="inlineStr"/>
    </row>
    <row r="15">
      <c r="A15" s="47" t="inlineStr">
        <is>
          <t>01:00</t>
        </is>
      </c>
      <c r="B15" s="20" t="inlineStr">
        <is>
          <t>Reading (lb-in)</t>
        </is>
      </c>
      <c r="C15" s="23" t="n">
        <v>10</v>
      </c>
      <c r="D15" s="23" t="n">
        <v>11.8</v>
      </c>
      <c r="E15" s="23" t="n">
        <v>14</v>
      </c>
      <c r="F15" s="23" t="n">
        <v>20.5</v>
      </c>
      <c r="G15" s="23" t="n">
        <v>13.8</v>
      </c>
      <c r="H15" s="23" t="n">
        <v>9.9</v>
      </c>
      <c r="I15" s="23" t="n">
        <v>10.7</v>
      </c>
      <c r="J15" s="23" t="n">
        <v>25.4</v>
      </c>
      <c r="K15" s="23" t="n">
        <v>13.8</v>
      </c>
      <c r="L15" s="23" t="n">
        <v>7.6</v>
      </c>
      <c r="M15" s="23" t="n">
        <v>14.3</v>
      </c>
      <c r="N15" s="23" t="n">
        <v>14.2</v>
      </c>
      <c r="O15" s="48" t="n">
        <v>25.1</v>
      </c>
      <c r="P15" s="23" t="n">
        <v>26.3</v>
      </c>
      <c r="Q15" s="23" t="n">
        <v>13</v>
      </c>
      <c r="R15" s="17" t="inlineStr"/>
      <c r="S15" s="20">
        <f>COUNT($C15:$Q15)&amp;" numeric"</f>
        <v/>
      </c>
    </row>
    <row r="16">
      <c r="A16" s="47" t="inlineStr"/>
      <c r="B16" s="20" t="inlineStr">
        <is>
          <t>Re-test / Result</t>
        </is>
      </c>
      <c r="C16" s="12" t="inlineStr">
        <is>
          <t>OK</t>
        </is>
      </c>
      <c r="D16" s="12" t="inlineStr">
        <is>
          <t>OK</t>
        </is>
      </c>
      <c r="E16" s="12" t="inlineStr">
        <is>
          <t>OK</t>
        </is>
      </c>
      <c r="F16" s="23" t="n">
        <v>15.5</v>
      </c>
      <c r="G16" s="12" t="inlineStr">
        <is>
          <t>OK</t>
        </is>
      </c>
      <c r="H16" s="12" t="inlineStr">
        <is>
          <t>OK</t>
        </is>
      </c>
      <c r="I16" s="12" t="inlineStr">
        <is>
          <t>OK</t>
        </is>
      </c>
      <c r="J16" s="23" t="n">
        <v>16</v>
      </c>
      <c r="K16" s="12" t="inlineStr">
        <is>
          <t>OK</t>
        </is>
      </c>
      <c r="L16" s="23" t="n">
        <v>10.5</v>
      </c>
      <c r="M16" s="12" t="inlineStr">
        <is>
          <t>OK</t>
        </is>
      </c>
      <c r="N16" s="12" t="inlineStr">
        <is>
          <t>OK</t>
        </is>
      </c>
      <c r="O16" s="23" t="n">
        <v>15</v>
      </c>
      <c r="P16" s="23" t="n">
        <v>16.3</v>
      </c>
      <c r="Q16" s="12" t="inlineStr">
        <is>
          <t>OK</t>
        </is>
      </c>
      <c r="R16" s="17" t="inlineStr"/>
      <c r="S16" s="20" t="inlineStr"/>
    </row>
    <row r="17">
      <c r="A17" s="43" t="inlineStr">
        <is>
          <t>03:00</t>
        </is>
      </c>
      <c r="B17" s="44" t="inlineStr">
        <is>
          <t>Reading (lb-in)</t>
        </is>
      </c>
      <c r="C17" s="45" t="n"/>
      <c r="D17" s="45" t="n"/>
      <c r="E17" s="45" t="n"/>
      <c r="F17" s="45" t="n"/>
      <c r="G17" s="45" t="n"/>
      <c r="H17" s="45" t="n"/>
      <c r="I17" s="45" t="n"/>
      <c r="J17" s="45" t="n"/>
      <c r="K17" s="45" t="n"/>
      <c r="L17" s="45" t="n"/>
      <c r="M17" s="45" t="n"/>
      <c r="N17" s="45" t="n"/>
      <c r="O17" s="45" t="n"/>
      <c r="P17" s="45" t="n"/>
      <c r="Q17" s="45" t="n"/>
      <c r="R17" s="46" t="inlineStr"/>
      <c r="S17" s="44" t="inlineStr">
        <is>
          <t>not recorded</t>
        </is>
      </c>
    </row>
    <row r="18">
      <c r="A18" s="43" t="inlineStr"/>
      <c r="B18" s="44" t="inlineStr">
        <is>
          <t>Re-test / Result</t>
        </is>
      </c>
      <c r="C18" s="45" t="n"/>
      <c r="D18" s="45" t="n"/>
      <c r="E18" s="45" t="n"/>
      <c r="F18" s="45" t="n"/>
      <c r="G18" s="45" t="n"/>
      <c r="H18" s="45" t="n"/>
      <c r="I18" s="45" t="n"/>
      <c r="J18" s="45" t="n"/>
      <c r="K18" s="45" t="n"/>
      <c r="L18" s="45" t="n"/>
      <c r="M18" s="45" t="n"/>
      <c r="N18" s="45" t="n"/>
      <c r="O18" s="45" t="n"/>
      <c r="P18" s="45" t="n"/>
      <c r="Q18" s="45" t="n"/>
      <c r="R18" s="46" t="inlineStr"/>
      <c r="S18" s="44" t="inlineStr"/>
    </row>
    <row r="19">
      <c r="A19" s="43" t="inlineStr">
        <is>
          <t>05:00</t>
        </is>
      </c>
      <c r="B19" s="44" t="inlineStr">
        <is>
          <t>Reading (lb-in)</t>
        </is>
      </c>
      <c r="C19" s="45" t="n"/>
      <c r="D19" s="45" t="n"/>
      <c r="E19" s="45" t="n"/>
      <c r="F19" s="45" t="n"/>
      <c r="G19" s="45" t="n"/>
      <c r="H19" s="45" t="n"/>
      <c r="I19" s="45" t="n"/>
      <c r="J19" s="45" t="n"/>
      <c r="K19" s="45" t="n"/>
      <c r="L19" s="45" t="n"/>
      <c r="M19" s="45" t="n"/>
      <c r="N19" s="45" t="n"/>
      <c r="O19" s="45" t="n"/>
      <c r="P19" s="45" t="n"/>
      <c r="Q19" s="45" t="n"/>
      <c r="R19" s="46" t="inlineStr"/>
      <c r="S19" s="44" t="inlineStr">
        <is>
          <t>not recorded</t>
        </is>
      </c>
    </row>
    <row r="20">
      <c r="A20" s="43" t="inlineStr"/>
      <c r="B20" s="44" t="inlineStr">
        <is>
          <t>Re-test / Result</t>
        </is>
      </c>
      <c r="C20" s="45" t="n"/>
      <c r="D20" s="45" t="n"/>
      <c r="E20" s="45" t="n"/>
      <c r="F20" s="45" t="n"/>
      <c r="G20" s="45" t="n"/>
      <c r="H20" s="45" t="n"/>
      <c r="I20" s="45" t="n"/>
      <c r="J20" s="45" t="n"/>
      <c r="K20" s="45" t="n"/>
      <c r="L20" s="45" t="n"/>
      <c r="M20" s="45" t="n"/>
      <c r="N20" s="45" t="n"/>
      <c r="O20" s="45" t="n"/>
      <c r="P20" s="45" t="n"/>
      <c r="Q20" s="45" t="n"/>
      <c r="R20" s="46" t="inlineStr"/>
      <c r="S20" s="44" t="inlineStr"/>
    </row>
    <row r="21">
      <c r="A21" s="43" t="inlineStr">
        <is>
          <t>07:00</t>
        </is>
      </c>
      <c r="B21" s="44" t="inlineStr">
        <is>
          <t>Reading (lb-in)</t>
        </is>
      </c>
      <c r="C21" s="45" t="n"/>
      <c r="D21" s="45" t="n"/>
      <c r="E21" s="45" t="n"/>
      <c r="F21" s="45" t="n"/>
      <c r="G21" s="45" t="n"/>
      <c r="H21" s="45" t="n"/>
      <c r="I21" s="45" t="n"/>
      <c r="J21" s="45" t="n"/>
      <c r="K21" s="45" t="n"/>
      <c r="L21" s="45" t="n"/>
      <c r="M21" s="45" t="n"/>
      <c r="N21" s="45" t="n"/>
      <c r="O21" s="45" t="n"/>
      <c r="P21" s="45" t="n"/>
      <c r="Q21" s="45" t="n"/>
      <c r="R21" s="46" t="inlineStr"/>
      <c r="S21" s="44" t="inlineStr">
        <is>
          <t>not recorded</t>
        </is>
      </c>
    </row>
    <row r="22">
      <c r="A22" s="43" t="inlineStr"/>
      <c r="B22" s="44" t="inlineStr">
        <is>
          <t>Re-test / Result</t>
        </is>
      </c>
      <c r="C22" s="45" t="n"/>
      <c r="D22" s="45" t="n"/>
      <c r="E22" s="45" t="n"/>
      <c r="F22" s="45" t="n"/>
      <c r="G22" s="45" t="n"/>
      <c r="H22" s="45" t="n"/>
      <c r="I22" s="45" t="n"/>
      <c r="J22" s="45" t="n"/>
      <c r="K22" s="45" t="n"/>
      <c r="L22" s="45" t="n"/>
      <c r="M22" s="45" t="n"/>
      <c r="N22" s="45" t="n"/>
      <c r="O22" s="45" t="n"/>
      <c r="P22" s="45" t="n"/>
      <c r="Q22" s="45" t="n"/>
      <c r="R22" s="46" t="inlineStr"/>
      <c r="S22" s="44" t="inlineStr"/>
    </row>
    <row r="24" ht="18" customHeight="1">
      <c r="A24" s="3" t="inlineStr">
        <is>
          <t>Verification - every cell below is a live formula</t>
        </is>
      </c>
      <c r="B24" s="4" t="n"/>
      <c r="C24" s="4" t="n"/>
      <c r="D24" s="4" t="n"/>
      <c r="E24" s="4" t="n"/>
      <c r="F24" s="4" t="n"/>
      <c r="G24" s="4" t="n"/>
      <c r="H24" s="4" t="n"/>
      <c r="I24" s="4" t="n"/>
      <c r="J24" s="4" t="n"/>
      <c r="K24" s="4" t="n"/>
      <c r="L24" s="4" t="n"/>
      <c r="M24" s="4" t="n"/>
      <c r="N24" s="4" t="n"/>
      <c r="O24" s="4" t="n"/>
      <c r="P24" s="4" t="n"/>
      <c r="Q24" s="4" t="n"/>
      <c r="R24" s="4" t="n"/>
      <c r="S24" s="4" t="n"/>
    </row>
    <row r="25">
      <c r="A25" s="9" t="inlineStr">
        <is>
          <t>TIME</t>
        </is>
      </c>
      <c r="B25" s="9" t="inlineStr">
        <is>
          <t>Check</t>
        </is>
      </c>
      <c r="C25" s="9" t="n">
        <v>1</v>
      </c>
      <c r="D25" s="9" t="n">
        <v>2</v>
      </c>
      <c r="E25" s="9" t="n">
        <v>3</v>
      </c>
      <c r="F25" s="9" t="n">
        <v>4</v>
      </c>
      <c r="G25" s="9" t="n">
        <v>5</v>
      </c>
      <c r="H25" s="9" t="n">
        <v>6</v>
      </c>
      <c r="I25" s="9" t="n">
        <v>7</v>
      </c>
      <c r="J25" s="9" t="n">
        <v>8</v>
      </c>
      <c r="K25" s="9" t="n">
        <v>9</v>
      </c>
      <c r="L25" s="9" t="n">
        <v>10</v>
      </c>
      <c r="M25" s="9" t="n">
        <v>11</v>
      </c>
      <c r="N25" s="9" t="n">
        <v>12</v>
      </c>
      <c r="O25" s="9" t="n">
        <v>13</v>
      </c>
      <c r="P25" s="9" t="n">
        <v>14</v>
      </c>
      <c r="Q25" s="9" t="n">
        <v>15</v>
      </c>
      <c r="R25" s="9" t="inlineStr">
        <is>
          <t>Count</t>
        </is>
      </c>
      <c r="S25" s="9" t="inlineStr"/>
    </row>
    <row r="26">
      <c r="A26" s="50" t="inlineStr">
        <is>
          <t>11:00</t>
        </is>
      </c>
      <c r="B26" s="51" t="inlineStr">
        <is>
          <t>Ringed on the form (as transcribed)</t>
        </is>
      </c>
      <c r="C26" s="30" t="inlineStr">
        <is>
          <t>Y</t>
        </is>
      </c>
      <c r="D26" s="30" t="inlineStr"/>
      <c r="E26" s="30" t="inlineStr">
        <is>
          <t>Y</t>
        </is>
      </c>
      <c r="F26" s="30" t="inlineStr"/>
      <c r="G26" s="30" t="inlineStr"/>
      <c r="H26" s="30" t="inlineStr"/>
      <c r="I26" s="30" t="inlineStr"/>
      <c r="J26" s="30" t="inlineStr"/>
      <c r="K26" s="30" t="inlineStr"/>
      <c r="L26" s="30" t="inlineStr">
        <is>
          <t>Y</t>
        </is>
      </c>
      <c r="M26" s="30" t="inlineStr"/>
      <c r="N26" s="30" t="inlineStr"/>
      <c r="O26" s="30" t="inlineStr">
        <is>
          <t>Y</t>
        </is>
      </c>
      <c r="P26" s="30" t="inlineStr">
        <is>
          <t>Y</t>
        </is>
      </c>
      <c r="Q26" s="30" t="inlineStr"/>
      <c r="R26" s="50">
        <f>COUNTIF($C26:$Q26,"Y")</f>
        <v/>
      </c>
      <c r="S26" s="51" t="inlineStr">
        <is>
          <t>rejected by the chemist</t>
        </is>
      </c>
    </row>
    <row r="27">
      <c r="A27" s="47" t="inlineStr"/>
      <c r="B27" s="20" t="inlineStr">
        <is>
          <t>Outside band (formula)</t>
        </is>
      </c>
      <c r="C27" s="12">
        <f>IF(NOT(ISNUMBER(C13)),"n/a",IF(OR(C13&lt;SPEC_LOW,C13&gt;SPEC_HIGH),"OUT","in"))</f>
        <v/>
      </c>
      <c r="D27" s="12">
        <f>IF(NOT(ISNUMBER(D13)),"n/a",IF(OR(D13&lt;SPEC_LOW,D13&gt;SPEC_HIGH),"OUT","in"))</f>
        <v/>
      </c>
      <c r="E27" s="12">
        <f>IF(NOT(ISNUMBER(E13)),"n/a",IF(OR(E13&lt;SPEC_LOW,E13&gt;SPEC_HIGH),"OUT","in"))</f>
        <v/>
      </c>
      <c r="F27" s="12">
        <f>IF(NOT(ISNUMBER(F13)),"n/a",IF(OR(F13&lt;SPEC_LOW,F13&gt;SPEC_HIGH),"OUT","in"))</f>
        <v/>
      </c>
      <c r="G27" s="12">
        <f>IF(NOT(ISNUMBER(G13)),"n/a",IF(OR(G13&lt;SPEC_LOW,G13&gt;SPEC_HIGH),"OUT","in"))</f>
        <v/>
      </c>
      <c r="H27" s="12">
        <f>IF(NOT(ISNUMBER(H13)),"n/a",IF(OR(H13&lt;SPEC_LOW,H13&gt;SPEC_HIGH),"OUT","in"))</f>
        <v/>
      </c>
      <c r="I27" s="12">
        <f>IF(NOT(ISNUMBER(I13)),"n/a",IF(OR(I13&lt;SPEC_LOW,I13&gt;SPEC_HIGH),"OUT","in"))</f>
        <v/>
      </c>
      <c r="J27" s="12">
        <f>IF(NOT(ISNUMBER(J13)),"n/a",IF(OR(J13&lt;SPEC_LOW,J13&gt;SPEC_HIGH),"OUT","in"))</f>
        <v/>
      </c>
      <c r="K27" s="12">
        <f>IF(NOT(ISNUMBER(K13)),"n/a",IF(OR(K13&lt;SPEC_LOW,K13&gt;SPEC_HIGH),"OUT","in"))</f>
        <v/>
      </c>
      <c r="L27" s="12">
        <f>IF(NOT(ISNUMBER(L13)),"n/a",IF(OR(L13&lt;SPEC_LOW,L13&gt;SPEC_HIGH),"OUT","in"))</f>
        <v/>
      </c>
      <c r="M27" s="12">
        <f>IF(NOT(ISNUMBER(M13)),"n/a",IF(OR(M13&lt;SPEC_LOW,M13&gt;SPEC_HIGH),"OUT","in"))</f>
        <v/>
      </c>
      <c r="N27" s="12">
        <f>IF(NOT(ISNUMBER(N13)),"n/a",IF(OR(N13&lt;SPEC_LOW,N13&gt;SPEC_HIGH),"OUT","in"))</f>
        <v/>
      </c>
      <c r="O27" s="12">
        <f>IF(NOT(ISNUMBER(O13)),"n/a",IF(OR(O13&lt;SPEC_LOW,O13&gt;SPEC_HIGH),"OUT","in"))</f>
        <v/>
      </c>
      <c r="P27" s="12">
        <f>IF(NOT(ISNUMBER(P13)),"n/a",IF(OR(P13&lt;SPEC_LOW,P13&gt;SPEC_HIGH),"OUT","in"))</f>
        <v/>
      </c>
      <c r="Q27" s="12">
        <f>IF(NOT(ISNUMBER(Q13)),"n/a",IF(OR(Q13&lt;SPEC_LOW,Q13&gt;SPEC_HIGH),"OUT","in"))</f>
        <v/>
      </c>
      <c r="R27" s="47">
        <f>COUNTIF($C27:$Q27,"OUT")</f>
        <v/>
      </c>
      <c r="S27" s="20" t="inlineStr">
        <is>
          <t>flagged by the formula</t>
        </is>
      </c>
    </row>
    <row r="28">
      <c r="A28" s="50" t="inlineStr"/>
      <c r="B28" s="51" t="inlineStr">
        <is>
          <t>Formula agrees with the form?</t>
        </is>
      </c>
      <c r="C28" s="30">
        <f>IF(NOT(ISNUMBER(C13)),"n/a",IF((C26="Y")=OR(C13&lt;SPEC_LOW,C13&gt;SPEC_HIGH),"agrees","MISMATCH"))</f>
        <v/>
      </c>
      <c r="D28" s="30">
        <f>IF(NOT(ISNUMBER(D13)),"n/a",IF((D26="Y")=OR(D13&lt;SPEC_LOW,D13&gt;SPEC_HIGH),"agrees","MISMATCH"))</f>
        <v/>
      </c>
      <c r="E28" s="30">
        <f>IF(NOT(ISNUMBER(E13)),"n/a",IF((E26="Y")=OR(E13&lt;SPEC_LOW,E13&gt;SPEC_HIGH),"agrees","MISMATCH"))</f>
        <v/>
      </c>
      <c r="F28" s="30">
        <f>IF(NOT(ISNUMBER(F13)),"n/a",IF((F26="Y")=OR(F13&lt;SPEC_LOW,F13&gt;SPEC_HIGH),"agrees","MISMATCH"))</f>
        <v/>
      </c>
      <c r="G28" s="30">
        <f>IF(NOT(ISNUMBER(G13)),"n/a",IF((G26="Y")=OR(G13&lt;SPEC_LOW,G13&gt;SPEC_HIGH),"agrees","MISMATCH"))</f>
        <v/>
      </c>
      <c r="H28" s="30">
        <f>IF(NOT(ISNUMBER(H13)),"n/a",IF((H26="Y")=OR(H13&lt;SPEC_LOW,H13&gt;SPEC_HIGH),"agrees","MISMATCH"))</f>
        <v/>
      </c>
      <c r="I28" s="30">
        <f>IF(NOT(ISNUMBER(I13)),"n/a",IF((I26="Y")=OR(I13&lt;SPEC_LOW,I13&gt;SPEC_HIGH),"agrees","MISMATCH"))</f>
        <v/>
      </c>
      <c r="J28" s="30">
        <f>IF(NOT(ISNUMBER(J13)),"n/a",IF((J26="Y")=OR(J13&lt;SPEC_LOW,J13&gt;SPEC_HIGH),"agrees","MISMATCH"))</f>
        <v/>
      </c>
      <c r="K28" s="30">
        <f>IF(NOT(ISNUMBER(K13)),"n/a",IF((K26="Y")=OR(K13&lt;SPEC_LOW,K13&gt;SPEC_HIGH),"agrees","MISMATCH"))</f>
        <v/>
      </c>
      <c r="L28" s="30">
        <f>IF(NOT(ISNUMBER(L13)),"n/a",IF((L26="Y")=OR(L13&lt;SPEC_LOW,L13&gt;SPEC_HIGH),"agrees","MISMATCH"))</f>
        <v/>
      </c>
      <c r="M28" s="30">
        <f>IF(NOT(ISNUMBER(M13)),"n/a",IF((M26="Y")=OR(M13&lt;SPEC_LOW,M13&gt;SPEC_HIGH),"agrees","MISMATCH"))</f>
        <v/>
      </c>
      <c r="N28" s="30">
        <f>IF(NOT(ISNUMBER(N13)),"n/a",IF((N26="Y")=OR(N13&lt;SPEC_LOW,N13&gt;SPEC_HIGH),"agrees","MISMATCH"))</f>
        <v/>
      </c>
      <c r="O28" s="30">
        <f>IF(NOT(ISNUMBER(O13)),"n/a",IF((O26="Y")=OR(O13&lt;SPEC_LOW,O13&gt;SPEC_HIGH),"agrees","MISMATCH"))</f>
        <v/>
      </c>
      <c r="P28" s="30">
        <f>IF(NOT(ISNUMBER(P13)),"n/a",IF((P26="Y")=OR(P13&lt;SPEC_LOW,P13&gt;SPEC_HIGH),"agrees","MISMATCH"))</f>
        <v/>
      </c>
      <c r="Q28" s="30">
        <f>IF(NOT(ISNUMBER(Q13)),"n/a",IF((Q26="Y")=OR(Q13&lt;SPEC_LOW,Q13&gt;SPEC_HIGH),"agrees","MISMATCH"))</f>
        <v/>
      </c>
      <c r="R28" s="50">
        <f>COUNTIF($C28:$Q28,"MISMATCH")</f>
        <v/>
      </c>
      <c r="S28" s="51" t="inlineStr">
        <is>
          <t>must be 0</t>
        </is>
      </c>
    </row>
    <row r="29">
      <c r="A29" s="50" t="inlineStr">
        <is>
          <t>01:00</t>
        </is>
      </c>
      <c r="B29" s="51" t="inlineStr">
        <is>
          <t>Ringed on the form (as transcribed)</t>
        </is>
      </c>
      <c r="C29" s="30" t="inlineStr"/>
      <c r="D29" s="30" t="inlineStr"/>
      <c r="E29" s="30" t="inlineStr"/>
      <c r="F29" s="30" t="inlineStr">
        <is>
          <t>Y</t>
        </is>
      </c>
      <c r="G29" s="30" t="inlineStr"/>
      <c r="H29" s="30" t="inlineStr"/>
      <c r="I29" s="30" t="inlineStr"/>
      <c r="J29" s="30" t="inlineStr">
        <is>
          <t>Y</t>
        </is>
      </c>
      <c r="K29" s="30" t="inlineStr"/>
      <c r="L29" s="30" t="inlineStr">
        <is>
          <t>Y</t>
        </is>
      </c>
      <c r="M29" s="30" t="inlineStr"/>
      <c r="N29" s="30" t="inlineStr"/>
      <c r="O29" s="30" t="inlineStr">
        <is>
          <t>Y</t>
        </is>
      </c>
      <c r="P29" s="30" t="inlineStr">
        <is>
          <t>Y</t>
        </is>
      </c>
      <c r="Q29" s="30" t="inlineStr"/>
      <c r="R29" s="50">
        <f>COUNTIF($C29:$Q29,"Y")</f>
        <v/>
      </c>
      <c r="S29" s="51" t="inlineStr">
        <is>
          <t>rejected by the chemist</t>
        </is>
      </c>
    </row>
    <row r="30">
      <c r="A30" s="47" t="inlineStr"/>
      <c r="B30" s="20" t="inlineStr">
        <is>
          <t>Outside band (formula)</t>
        </is>
      </c>
      <c r="C30" s="12">
        <f>IF(NOT(ISNUMBER(C15)),"n/a",IF(OR(C15&lt;SPEC_LOW,C15&gt;SPEC_HIGH),"OUT","in"))</f>
        <v/>
      </c>
      <c r="D30" s="12">
        <f>IF(NOT(ISNUMBER(D15)),"n/a",IF(OR(D15&lt;SPEC_LOW,D15&gt;SPEC_HIGH),"OUT","in"))</f>
        <v/>
      </c>
      <c r="E30" s="12">
        <f>IF(NOT(ISNUMBER(E15)),"n/a",IF(OR(E15&lt;SPEC_LOW,E15&gt;SPEC_HIGH),"OUT","in"))</f>
        <v/>
      </c>
      <c r="F30" s="12">
        <f>IF(NOT(ISNUMBER(F15)),"n/a",IF(OR(F15&lt;SPEC_LOW,F15&gt;SPEC_HIGH),"OUT","in"))</f>
        <v/>
      </c>
      <c r="G30" s="12">
        <f>IF(NOT(ISNUMBER(G15)),"n/a",IF(OR(G15&lt;SPEC_LOW,G15&gt;SPEC_HIGH),"OUT","in"))</f>
        <v/>
      </c>
      <c r="H30" s="12">
        <f>IF(NOT(ISNUMBER(H15)),"n/a",IF(OR(H15&lt;SPEC_LOW,H15&gt;SPEC_HIGH),"OUT","in"))</f>
        <v/>
      </c>
      <c r="I30" s="12">
        <f>IF(NOT(ISNUMBER(I15)),"n/a",IF(OR(I15&lt;SPEC_LOW,I15&gt;SPEC_HIGH),"OUT","in"))</f>
        <v/>
      </c>
      <c r="J30" s="12">
        <f>IF(NOT(ISNUMBER(J15)),"n/a",IF(OR(J15&lt;SPEC_LOW,J15&gt;SPEC_HIGH),"OUT","in"))</f>
        <v/>
      </c>
      <c r="K30" s="12">
        <f>IF(NOT(ISNUMBER(K15)),"n/a",IF(OR(K15&lt;SPEC_LOW,K15&gt;SPEC_HIGH),"OUT","in"))</f>
        <v/>
      </c>
      <c r="L30" s="12">
        <f>IF(NOT(ISNUMBER(L15)),"n/a",IF(OR(L15&lt;SPEC_LOW,L15&gt;SPEC_HIGH),"OUT","in"))</f>
        <v/>
      </c>
      <c r="M30" s="12">
        <f>IF(NOT(ISNUMBER(M15)),"n/a",IF(OR(M15&lt;SPEC_LOW,M15&gt;SPEC_HIGH),"OUT","in"))</f>
        <v/>
      </c>
      <c r="N30" s="12">
        <f>IF(NOT(ISNUMBER(N15)),"n/a",IF(OR(N15&lt;SPEC_LOW,N15&gt;SPEC_HIGH),"OUT","in"))</f>
        <v/>
      </c>
      <c r="O30" s="12">
        <f>IF(NOT(ISNUMBER(O15)),"n/a",IF(OR(O15&lt;SPEC_LOW,O15&gt;SPEC_HIGH),"OUT","in"))</f>
        <v/>
      </c>
      <c r="P30" s="12">
        <f>IF(NOT(ISNUMBER(P15)),"n/a",IF(OR(P15&lt;SPEC_LOW,P15&gt;SPEC_HIGH),"OUT","in"))</f>
        <v/>
      </c>
      <c r="Q30" s="12">
        <f>IF(NOT(ISNUMBER(Q15)),"n/a",IF(OR(Q15&lt;SPEC_LOW,Q15&gt;SPEC_HIGH),"OUT","in"))</f>
        <v/>
      </c>
      <c r="R30" s="47">
        <f>COUNTIF($C30:$Q30,"OUT")</f>
        <v/>
      </c>
      <c r="S30" s="20" t="inlineStr">
        <is>
          <t>flagged by the formula</t>
        </is>
      </c>
    </row>
    <row r="31">
      <c r="A31" s="50" t="inlineStr"/>
      <c r="B31" s="51" t="inlineStr">
        <is>
          <t>Formula agrees with the form?</t>
        </is>
      </c>
      <c r="C31" s="30">
        <f>IF(NOT(ISNUMBER(C15)),"n/a",IF((C29="Y")=OR(C15&lt;SPEC_LOW,C15&gt;SPEC_HIGH),"agrees","MISMATCH"))</f>
        <v/>
      </c>
      <c r="D31" s="30">
        <f>IF(NOT(ISNUMBER(D15)),"n/a",IF((D29="Y")=OR(D15&lt;SPEC_LOW,D15&gt;SPEC_HIGH),"agrees","MISMATCH"))</f>
        <v/>
      </c>
      <c r="E31" s="30">
        <f>IF(NOT(ISNUMBER(E15)),"n/a",IF((E29="Y")=OR(E15&lt;SPEC_LOW,E15&gt;SPEC_HIGH),"agrees","MISMATCH"))</f>
        <v/>
      </c>
      <c r="F31" s="30">
        <f>IF(NOT(ISNUMBER(F15)),"n/a",IF((F29="Y")=OR(F15&lt;SPEC_LOW,F15&gt;SPEC_HIGH),"agrees","MISMATCH"))</f>
        <v/>
      </c>
      <c r="G31" s="30">
        <f>IF(NOT(ISNUMBER(G15)),"n/a",IF((G29="Y")=OR(G15&lt;SPEC_LOW,G15&gt;SPEC_HIGH),"agrees","MISMATCH"))</f>
        <v/>
      </c>
      <c r="H31" s="30">
        <f>IF(NOT(ISNUMBER(H15)),"n/a",IF((H29="Y")=OR(H15&lt;SPEC_LOW,H15&gt;SPEC_HIGH),"agrees","MISMATCH"))</f>
        <v/>
      </c>
      <c r="I31" s="30">
        <f>IF(NOT(ISNUMBER(I15)),"n/a",IF((I29="Y")=OR(I15&lt;SPEC_LOW,I15&gt;SPEC_HIGH),"agrees","MISMATCH"))</f>
        <v/>
      </c>
      <c r="J31" s="30">
        <f>IF(NOT(ISNUMBER(J15)),"n/a",IF((J29="Y")=OR(J15&lt;SPEC_LOW,J15&gt;SPEC_HIGH),"agrees","MISMATCH"))</f>
        <v/>
      </c>
      <c r="K31" s="30">
        <f>IF(NOT(ISNUMBER(K15)),"n/a",IF((K29="Y")=OR(K15&lt;SPEC_LOW,K15&gt;SPEC_HIGH),"agrees","MISMATCH"))</f>
        <v/>
      </c>
      <c r="L31" s="30">
        <f>IF(NOT(ISNUMBER(L15)),"n/a",IF((L29="Y")=OR(L15&lt;SPEC_LOW,L15&gt;SPEC_HIGH),"agrees","MISMATCH"))</f>
        <v/>
      </c>
      <c r="M31" s="30">
        <f>IF(NOT(ISNUMBER(M15)),"n/a",IF((M29="Y")=OR(M15&lt;SPEC_LOW,M15&gt;SPEC_HIGH),"agrees","MISMATCH"))</f>
        <v/>
      </c>
      <c r="N31" s="30">
        <f>IF(NOT(ISNUMBER(N15)),"n/a",IF((N29="Y")=OR(N15&lt;SPEC_LOW,N15&gt;SPEC_HIGH),"agrees","MISMATCH"))</f>
        <v/>
      </c>
      <c r="O31" s="30">
        <f>IF(NOT(ISNUMBER(O15)),"n/a",IF((O29="Y")=OR(O15&lt;SPEC_LOW,O15&gt;SPEC_HIGH),"agrees","MISMATCH"))</f>
        <v/>
      </c>
      <c r="P31" s="30">
        <f>IF(NOT(ISNUMBER(P15)),"n/a",IF((P29="Y")=OR(P15&lt;SPEC_LOW,P15&gt;SPEC_HIGH),"agrees","MISMATCH"))</f>
        <v/>
      </c>
      <c r="Q31" s="30">
        <f>IF(NOT(ISNUMBER(Q15)),"n/a",IF((Q29="Y")=OR(Q15&lt;SPEC_LOW,Q15&gt;SPEC_HIGH),"agrees","MISMATCH"))</f>
        <v/>
      </c>
      <c r="R31" s="50">
        <f>COUNTIF($C31:$Q31,"MISMATCH")</f>
        <v/>
      </c>
      <c r="S31" s="51" t="inlineStr">
        <is>
          <t>must be 0</t>
        </is>
      </c>
    </row>
    <row r="33" ht="18" customHeight="1">
      <c r="A33" s="3" t="inlineStr">
        <is>
          <t>Statistics per test round - live formulas</t>
        </is>
      </c>
      <c r="B33" s="4" t="n"/>
      <c r="C33" s="4" t="n"/>
      <c r="D33" s="4" t="n"/>
      <c r="E33" s="4" t="n"/>
      <c r="F33" s="4" t="n"/>
      <c r="G33" s="4" t="n"/>
      <c r="H33" s="4" t="n"/>
    </row>
    <row r="34">
      <c r="A34" s="9" t="inlineStr">
        <is>
          <t>Test round</t>
        </is>
      </c>
      <c r="B34" s="9" t="inlineStr">
        <is>
          <t>Numeric readings</t>
        </is>
      </c>
      <c r="C34" s="9" t="inlineStr">
        <is>
          <t>Minimum</t>
        </is>
      </c>
      <c r="D34" s="9" t="inlineStr">
        <is>
          <t>Maximum</t>
        </is>
      </c>
      <c r="E34" s="9" t="inlineStr">
        <is>
          <t>Average</t>
        </is>
      </c>
      <c r="F34" s="9" t="inlineStr">
        <is>
          <t>Rejected (ringed)</t>
        </is>
      </c>
      <c r="G34" s="9" t="inlineStr">
        <is>
          <t>Re-tests written</t>
        </is>
      </c>
      <c r="H34" s="9" t="inlineStr">
        <is>
          <t>Re-tests inside band</t>
        </is>
      </c>
    </row>
    <row r="35">
      <c r="A35" s="35" t="inlineStr">
        <is>
          <t>11:00</t>
        </is>
      </c>
      <c r="B35" s="35">
        <f>COUNT($C13:$Q13)</f>
        <v/>
      </c>
      <c r="C35" s="7">
        <f>MIN($C13:$Q13)</f>
        <v/>
      </c>
      <c r="D35" s="7">
        <f>MAX($C13:$Q13)</f>
        <v/>
      </c>
      <c r="E35" s="52">
        <f>AVERAGE($C13:$Q13)</f>
        <v/>
      </c>
      <c r="F35" s="35">
        <f>COUNTIF($C26:$Q26,"Y")</f>
        <v/>
      </c>
      <c r="G35" s="35">
        <f>COUNT($C14:$Q14)</f>
        <v/>
      </c>
      <c r="H35" s="35">
        <f>SUMPRODUCT(($C14:$Q14&lt;&gt;"")*(ISNUMBER($C14:$Q14))*($C14:$Q14&gt;=SPEC_LOW)*($C14:$Q14&lt;=SPEC_HIGH))</f>
        <v/>
      </c>
    </row>
    <row r="36">
      <c r="A36" s="35" t="inlineStr">
        <is>
          <t>01:00</t>
        </is>
      </c>
      <c r="B36" s="35">
        <f>COUNT($C15:$Q15)</f>
        <v/>
      </c>
      <c r="C36" s="7">
        <f>MIN($C15:$Q15)</f>
        <v/>
      </c>
      <c r="D36" s="7">
        <f>MAX($C15:$Q15)</f>
        <v/>
      </c>
      <c r="E36" s="52">
        <f>AVERAGE($C15:$Q15)</f>
        <v/>
      </c>
      <c r="F36" s="35">
        <f>COUNTIF($C29:$Q29,"Y")</f>
        <v/>
      </c>
      <c r="G36" s="35">
        <f>COUNT($C16:$Q16)</f>
        <v/>
      </c>
      <c r="H36" s="35">
        <f>SUMPRODUCT(($C16:$Q16&lt;&gt;"")*(ISNUMBER($C16:$Q16))*($C16:$Q16&gt;=SPEC_LOW)*($C16:$Q16&lt;=SPEC_HIGH))</f>
        <v/>
      </c>
    </row>
    <row r="37">
      <c r="A37" s="35" t="inlineStr">
        <is>
          <t>TOTAL</t>
        </is>
      </c>
      <c r="B37" s="35">
        <f>SUM(B35,B36)</f>
        <v/>
      </c>
      <c r="C37" s="7">
        <f>MIN(C35,C36)</f>
        <v/>
      </c>
      <c r="D37" s="7">
        <f>MAX(D35,D36)</f>
        <v/>
      </c>
      <c r="E37" s="52">
        <f>AVERAGE($C13:$Q13,$C15:$Q15)</f>
        <v/>
      </c>
      <c r="F37" s="35">
        <f>SUM(F35,F36)</f>
        <v/>
      </c>
      <c r="G37" s="35">
        <f>SUM(G35,G36)</f>
        <v/>
      </c>
      <c r="H37" s="35">
        <f>SUM(H35,H36)</f>
        <v/>
      </c>
    </row>
    <row r="39" ht="18" customHeight="1">
      <c r="A39" s="3" t="inlineStr">
        <is>
          <t>Notes on this sheet</t>
        </is>
      </c>
      <c r="B39" s="4" t="n"/>
      <c r="C39" s="4" t="n"/>
      <c r="D39" s="4" t="n"/>
      <c r="E39" s="4" t="n"/>
      <c r="F39" s="4" t="n"/>
      <c r="G39" s="4" t="n"/>
      <c r="H39" s="4" t="n"/>
      <c r="I39" s="4" t="n"/>
      <c r="J39" s="4" t="n"/>
      <c r="K39" s="4" t="n"/>
      <c r="L39" s="4" t="n"/>
      <c r="M39" s="4" t="n"/>
      <c r="N39" s="4" t="n"/>
      <c r="O39" s="4" t="n"/>
      <c r="P39" s="4" t="n"/>
      <c r="Q39" s="4" t="n"/>
      <c r="R39" s="4" t="n"/>
      <c r="S39" s="4" t="n"/>
    </row>
    <row r="40" ht="26" customHeight="1">
      <c r="A40" s="8" t="inlineStr">
        <is>
          <t>•  The paper form prints six test rounds (09:00, 11:00, 01:00, 03:00, 05:00, 07:00). Only 11:00 and 01:00 were filled in; the greyed rounds were left blank and are reproduced empty rather than dropped.</t>
        </is>
      </c>
    </row>
    <row r="41" ht="26" customHeight="1">
      <c r="A41" s="8" t="inlineStr">
        <is>
          <t>•  A reading the chemist ringed on the form was rejected, and the re-test he then wrote underneath appears on the 'Re-test / Result' line. 'OK' on that line means the first reading was accepted.</t>
        </is>
      </c>
    </row>
    <row r="42" ht="26" customHeight="1">
      <c r="A42" s="8" t="inlineStr">
        <is>
          <t>•  The form prints no acceptance limits. The band on the Index sheet is the one consistent with every ringing decision made across both sheets - see that sheet for how it was derived. Change the two cells and every check here re-derives.</t>
        </is>
      </c>
    </row>
    <row r="43" ht="26" customHeight="1">
      <c r="A43" s="8" t="inlineStr">
        <is>
          <t>•  'Formula agrees with the form?' compares the band test against the chemist's own ringing for each head. Any MISMATCH means a digit was probably misread - the count must be 0.</t>
        </is>
      </c>
    </row>
    <row r="44" ht="26" customHeight="1">
      <c r="A44" s="8" t="inlineStr">
        <is>
          <t>•  Cells carrying a red figure have a comment attached explaining the ambiguity.</t>
        </is>
      </c>
    </row>
    <row r="45" ht="26" customHeight="1">
      <c r="A45" s="8" t="inlineStr">
        <is>
          <t>•  FLAGGED - 01:00, capper head 13: PARTIALLY OVERLAPPED - read as 25.1. The final digit sits on the cell boundary and is crossed by the ring drawn around the neighbouring head-14 reading.</t>
        </is>
      </c>
    </row>
    <row r="46" ht="26" customHeight="1">
      <c r="A46" s="8" t="inlineStr">
        <is>
          <t>•  FLAGGED - 11:00, capper head 10: AMBIGUOUS DIGIT - read as 6.0. The leading digit is written over itself; 6 is the better-supported reading (a 0 is also conceivable). It is ringed as rejected either way and re-tested at 10.8.</t>
        </is>
      </c>
    </row>
    <row r="47" ht="26" customHeight="1">
      <c r="A47" s="8" t="inlineStr">
        <is>
          <t>•  FLAGGED - 11:00, capper head 14: NON-NUMERIC ENTRY - the chemist wrote 'No open', with 'open' written above the cell. A re-test of 16.0 lb-in was recorded.</t>
        </is>
      </c>
    </row>
  </sheetData>
  <mergeCells count="16">
    <mergeCell ref="A42:S42"/>
    <mergeCell ref="A43:S43"/>
    <mergeCell ref="A41:S41"/>
    <mergeCell ref="A47:S47"/>
    <mergeCell ref="A45:S45"/>
    <mergeCell ref="A46:S46"/>
    <mergeCell ref="A8:S8"/>
    <mergeCell ref="A44:S44"/>
    <mergeCell ref="A1:S1"/>
    <mergeCell ref="A40:S40"/>
    <mergeCell ref="A3:S3"/>
    <mergeCell ref="A33:H33"/>
    <mergeCell ref="A39:S39"/>
    <mergeCell ref="C9:Q9"/>
    <mergeCell ref="A24:S24"/>
    <mergeCell ref="A2:S2"/>
  </mergeCells>
  <conditionalFormatting sqref="C28:Q28">
    <cfRule type="cellIs" priority="1" operator="equal" dxfId="1">
      <formula>"MISMATCH"</formula>
    </cfRule>
  </conditionalFormatting>
  <conditionalFormatting sqref="C27:Q27">
    <cfRule type="cellIs" priority="2" operator="equal" dxfId="2">
      <formula>"OUT"</formula>
    </cfRule>
  </conditionalFormatting>
  <conditionalFormatting sqref="C31:Q31">
    <cfRule type="cellIs" priority="3" operator="equal" dxfId="1">
      <formula>"MISMATCH"</formula>
    </cfRule>
  </conditionalFormatting>
  <conditionalFormatting sqref="C30:Q30">
    <cfRule type="cellIs" priority="4" operator="equal" dxfId="2">
      <formula>"OUT"</formula>
    </cfRule>
  </conditionalFormatting>
  <printOptions horizontalCentered="1"/>
  <pageMargins left="0.75" right="0.75" top="1" bottom="1" header="0.5" footer="0.5"/>
  <pageSetup orientation="landscape" fitToHeight="0" fitToWidth="1"/>
  <legacyDrawing xmlns:r="http://schemas.openxmlformats.org/officeDocument/2006/relationships" r:id="anysvml"/>
</worksheet>
</file>

<file path=xl/worksheets/sheet6.xml><?xml version="1.0" encoding="utf-8"?>
<worksheet xmlns="http://schemas.openxmlformats.org/spreadsheetml/2006/main">
  <sheetPr>
    <tabColor rgb="00C55A11"/>
    <outlinePr summaryBelow="1" summaryRight="1"/>
    <pageSetUpPr fitToPage="1"/>
  </sheetPr>
  <dimension ref="A1:S48"/>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15" customWidth="1" min="1" max="1"/>
    <col width="29" customWidth="1" min="2" max="2"/>
    <col width="8.4" customWidth="1" min="3" max="3"/>
    <col width="8.4" customWidth="1" min="4" max="4"/>
    <col width="8.4" customWidth="1" min="5" max="5"/>
    <col width="8.4" customWidth="1" min="6" max="6"/>
    <col width="8.4" customWidth="1" min="7" max="7"/>
    <col width="8.4" customWidth="1" min="8" max="8"/>
    <col width="8.4" customWidth="1" min="9" max="9"/>
    <col width="8.4" customWidth="1" min="10" max="10"/>
    <col width="8.4" customWidth="1" min="11" max="11"/>
    <col width="8.4" customWidth="1" min="12" max="12"/>
    <col width="8.4" customWidth="1" min="13" max="13"/>
    <col width="8.4" customWidth="1" min="14" max="14"/>
    <col width="8.4" customWidth="1" min="15" max="15"/>
    <col width="8.4" customWidth="1" min="16" max="16"/>
    <col width="8.4" customWidth="1" min="17" max="17"/>
    <col width="14" customWidth="1" min="18" max="18"/>
    <col width="24" customWidth="1" min="19" max="19"/>
  </cols>
  <sheetData>
    <row r="1" ht="24" customHeight="1">
      <c r="A1" s="1" t="inlineStr">
        <is>
          <t>ASIAN LAKTO INDUSTRIES LTD</t>
        </is>
      </c>
      <c r="B1" s="2" t="n"/>
      <c r="C1" s="2" t="n"/>
      <c r="D1" s="2" t="n"/>
      <c r="E1" s="2" t="n"/>
      <c r="F1" s="2" t="n"/>
      <c r="G1" s="2" t="n"/>
      <c r="H1" s="2" t="n"/>
      <c r="I1" s="2" t="n"/>
      <c r="J1" s="2" t="n"/>
      <c r="K1" s="2" t="n"/>
      <c r="L1" s="2" t="n"/>
      <c r="M1" s="2" t="n"/>
      <c r="N1" s="2" t="n"/>
      <c r="O1" s="2" t="n"/>
      <c r="P1" s="2" t="n"/>
      <c r="Q1" s="2" t="n"/>
      <c r="R1" s="2" t="n"/>
      <c r="S1" s="2" t="n"/>
    </row>
    <row r="2" ht="20" customHeight="1">
      <c r="A2" s="3" t="inlineStr">
        <is>
          <t>TORQUE TESTING REPORT (HYMECH LINE)</t>
        </is>
      </c>
      <c r="B2" s="4" t="n"/>
      <c r="C2" s="4" t="n"/>
      <c r="D2" s="4" t="n"/>
      <c r="E2" s="4" t="n"/>
      <c r="F2" s="4" t="n"/>
      <c r="G2" s="4" t="n"/>
      <c r="H2" s="4" t="n"/>
      <c r="I2" s="4" t="n"/>
      <c r="J2" s="4" t="n"/>
      <c r="K2" s="4" t="n"/>
      <c r="L2" s="4" t="n"/>
      <c r="M2" s="4" t="n"/>
      <c r="N2" s="4" t="n"/>
      <c r="O2" s="4" t="n"/>
      <c r="P2" s="4" t="n"/>
      <c r="Q2" s="4" t="n"/>
      <c r="R2" s="4" t="n"/>
      <c r="S2" s="4" t="n"/>
    </row>
    <row r="3" ht="15" customHeight="1">
      <c r="A3" s="40" t="inlineStr">
        <is>
          <t>transcribed from Photo 2 (PDF page 2)</t>
        </is>
      </c>
      <c r="B3" s="41" t="n"/>
      <c r="C3" s="41" t="n"/>
      <c r="D3" s="41" t="n"/>
      <c r="E3" s="41" t="n"/>
      <c r="F3" s="41" t="n"/>
      <c r="G3" s="41" t="n"/>
      <c r="H3" s="41" t="n"/>
      <c r="I3" s="41" t="n"/>
      <c r="J3" s="41" t="n"/>
      <c r="K3" s="41" t="n"/>
      <c r="L3" s="41" t="n"/>
      <c r="M3" s="41" t="n"/>
      <c r="N3" s="41" t="n"/>
      <c r="O3" s="41" t="n"/>
      <c r="P3" s="41" t="n"/>
      <c r="Q3" s="41" t="n"/>
      <c r="R3" s="41" t="n"/>
      <c r="S3" s="41" t="n"/>
    </row>
    <row r="5">
      <c r="A5" s="6" t="inlineStr">
        <is>
          <t>DATE</t>
        </is>
      </c>
      <c r="B5" s="11" t="inlineStr">
        <is>
          <t>20/08/26</t>
        </is>
      </c>
      <c r="E5" s="6" t="inlineStr">
        <is>
          <t>SHIFT</t>
        </is>
      </c>
      <c r="F5" s="11" t="inlineStr">
        <is>
          <t>Day</t>
        </is>
      </c>
    </row>
    <row r="6">
      <c r="A6" s="6" t="inlineStr">
        <is>
          <t>PRODUCT</t>
        </is>
      </c>
      <c r="B6" s="11" t="inlineStr">
        <is>
          <t>MC2 Original 250 ml</t>
        </is>
      </c>
      <c r="E6" s="6" t="inlineStr">
        <is>
          <t>CHEMIST NAME</t>
        </is>
      </c>
      <c r="F6" s="11" t="inlineStr">
        <is>
          <t>Pammee Singh</t>
        </is>
      </c>
    </row>
    <row r="7">
      <c r="A7" s="6" t="inlineStr">
        <is>
          <t>CAP MAKE</t>
        </is>
      </c>
      <c r="B7" s="11" t="inlineStr">
        <is>
          <t>MD</t>
        </is>
      </c>
    </row>
    <row r="8">
      <c r="A8" s="8">
        <f>"Acceptance band used by the checks below: "&amp;TEXT(SPEC_LOW,"0.0")&amp;" to "&amp;TEXT(SPEC_HIGH,"0.0")&amp;" lb-in  (editable on the Index &amp; Checks sheet - the form itself prints no limits)"</f>
        <v/>
      </c>
    </row>
    <row r="9">
      <c r="A9" s="42" t="inlineStr"/>
      <c r="B9" s="42" t="inlineStr"/>
      <c r="C9" s="42" t="inlineStr">
        <is>
          <t>CAPPER HEAD</t>
        </is>
      </c>
      <c r="D9" s="4" t="n"/>
      <c r="E9" s="4" t="n"/>
      <c r="F9" s="4" t="n"/>
      <c r="G9" s="4" t="n"/>
      <c r="H9" s="4" t="n"/>
      <c r="I9" s="4" t="n"/>
      <c r="J9" s="4" t="n"/>
      <c r="K9" s="4" t="n"/>
      <c r="L9" s="4" t="n"/>
      <c r="M9" s="4" t="n"/>
      <c r="N9" s="4" t="n"/>
      <c r="O9" s="4" t="n"/>
      <c r="P9" s="4" t="n"/>
      <c r="Q9" s="4" t="n"/>
      <c r="R9" s="42" t="inlineStr"/>
      <c r="S9" s="42" t="inlineStr"/>
    </row>
    <row r="10">
      <c r="A10" s="9" t="inlineStr">
        <is>
          <t>TIME</t>
        </is>
      </c>
      <c r="B10" s="9" t="inlineStr">
        <is>
          <t>Entry</t>
        </is>
      </c>
      <c r="C10" s="9" t="n">
        <v>1</v>
      </c>
      <c r="D10" s="9" t="n">
        <v>2</v>
      </c>
      <c r="E10" s="9" t="n">
        <v>3</v>
      </c>
      <c r="F10" s="9" t="n">
        <v>4</v>
      </c>
      <c r="G10" s="9" t="n">
        <v>5</v>
      </c>
      <c r="H10" s="9" t="n">
        <v>6</v>
      </c>
      <c r="I10" s="9" t="n">
        <v>7</v>
      </c>
      <c r="J10" s="9" t="n">
        <v>8</v>
      </c>
      <c r="K10" s="9" t="n">
        <v>9</v>
      </c>
      <c r="L10" s="9" t="n">
        <v>10</v>
      </c>
      <c r="M10" s="9" t="n">
        <v>11</v>
      </c>
      <c r="N10" s="9" t="n">
        <v>12</v>
      </c>
      <c r="O10" s="9" t="n">
        <v>13</v>
      </c>
      <c r="P10" s="9" t="n">
        <v>14</v>
      </c>
      <c r="Q10" s="9" t="n">
        <v>15</v>
      </c>
      <c r="R10" s="9" t="inlineStr">
        <is>
          <t>REMARK</t>
        </is>
      </c>
      <c r="S10" s="9" t="inlineStr"/>
    </row>
    <row r="11">
      <c r="A11" s="43" t="inlineStr">
        <is>
          <t>09:00</t>
        </is>
      </c>
      <c r="B11" s="44" t="inlineStr">
        <is>
          <t>Reading (lb-in)</t>
        </is>
      </c>
      <c r="C11" s="45" t="n"/>
      <c r="D11" s="45" t="n"/>
      <c r="E11" s="45" t="n"/>
      <c r="F11" s="45" t="n"/>
      <c r="G11" s="45" t="n"/>
      <c r="H11" s="45" t="n"/>
      <c r="I11" s="45" t="n"/>
      <c r="J11" s="45" t="n"/>
      <c r="K11" s="45" t="n"/>
      <c r="L11" s="45" t="n"/>
      <c r="M11" s="45" t="n"/>
      <c r="N11" s="45" t="n"/>
      <c r="O11" s="45" t="n"/>
      <c r="P11" s="45" t="n"/>
      <c r="Q11" s="45" t="n"/>
      <c r="R11" s="46" t="inlineStr"/>
      <c r="S11" s="44" t="inlineStr">
        <is>
          <t>not recorded</t>
        </is>
      </c>
    </row>
    <row r="12">
      <c r="A12" s="43" t="inlineStr"/>
      <c r="B12" s="44" t="inlineStr">
        <is>
          <t>Re-test / Result</t>
        </is>
      </c>
      <c r="C12" s="45" t="n"/>
      <c r="D12" s="45" t="n"/>
      <c r="E12" s="45" t="n"/>
      <c r="F12" s="45" t="n"/>
      <c r="G12" s="45" t="n"/>
      <c r="H12" s="45" t="n"/>
      <c r="I12" s="45" t="n"/>
      <c r="J12" s="45" t="n"/>
      <c r="K12" s="45" t="n"/>
      <c r="L12" s="45" t="n"/>
      <c r="M12" s="45" t="n"/>
      <c r="N12" s="45" t="n"/>
      <c r="O12" s="45" t="n"/>
      <c r="P12" s="45" t="n"/>
      <c r="Q12" s="45" t="n"/>
      <c r="R12" s="46" t="inlineStr"/>
      <c r="S12" s="44" t="inlineStr"/>
    </row>
    <row r="13">
      <c r="A13" s="47" t="inlineStr">
        <is>
          <t>11:00</t>
        </is>
      </c>
      <c r="B13" s="20" t="inlineStr">
        <is>
          <t>Reading (lb-in)</t>
        </is>
      </c>
      <c r="C13" s="23" t="n">
        <v>15</v>
      </c>
      <c r="D13" s="23" t="n">
        <v>13.7</v>
      </c>
      <c r="E13" s="23" t="n">
        <v>15.8</v>
      </c>
      <c r="F13" s="23" t="n">
        <v>24.1</v>
      </c>
      <c r="G13" s="23" t="n">
        <v>11.3</v>
      </c>
      <c r="H13" s="48" t="n">
        <v>7.9</v>
      </c>
      <c r="I13" s="49" t="inlineStr">
        <is>
          <t>No open</t>
        </is>
      </c>
      <c r="J13" s="23" t="n">
        <v>9.6</v>
      </c>
      <c r="K13" s="23" t="n">
        <v>12.7</v>
      </c>
      <c r="L13" s="23" t="n">
        <v>35.3</v>
      </c>
      <c r="M13" s="23" t="n">
        <v>17.5</v>
      </c>
      <c r="N13" s="23" t="n">
        <v>14.4</v>
      </c>
      <c r="O13" s="23" t="n">
        <v>26.4</v>
      </c>
      <c r="P13" s="23" t="n">
        <v>21.2</v>
      </c>
      <c r="Q13" s="23" t="n">
        <v>26.3</v>
      </c>
      <c r="R13" s="17" t="inlineStr"/>
      <c r="S13" s="20">
        <f>COUNT($C13:$Q13)&amp;" numeric"</f>
        <v/>
      </c>
    </row>
    <row r="14">
      <c r="A14" s="47" t="inlineStr"/>
      <c r="B14" s="20" t="inlineStr">
        <is>
          <t>Re-test / Result</t>
        </is>
      </c>
      <c r="C14" s="12" t="inlineStr">
        <is>
          <t>OK</t>
        </is>
      </c>
      <c r="D14" s="12" t="inlineStr">
        <is>
          <t>OK</t>
        </is>
      </c>
      <c r="E14" s="12" t="inlineStr">
        <is>
          <t>OK</t>
        </is>
      </c>
      <c r="F14" s="23" t="n">
        <v>15</v>
      </c>
      <c r="G14" s="12" t="inlineStr">
        <is>
          <t>OK</t>
        </is>
      </c>
      <c r="H14" s="12" t="n"/>
      <c r="I14" s="23" t="n">
        <v>16.6</v>
      </c>
      <c r="J14" s="12" t="inlineStr">
        <is>
          <t>OK</t>
        </is>
      </c>
      <c r="K14" s="12" t="inlineStr">
        <is>
          <t>OK</t>
        </is>
      </c>
      <c r="L14" s="23" t="n">
        <v>17.5</v>
      </c>
      <c r="M14" s="12" t="inlineStr">
        <is>
          <t>OK</t>
        </is>
      </c>
      <c r="N14" s="12" t="inlineStr">
        <is>
          <t>OK</t>
        </is>
      </c>
      <c r="O14" s="23" t="n">
        <v>16.3</v>
      </c>
      <c r="P14" s="23" t="n">
        <v>15</v>
      </c>
      <c r="Q14" s="23" t="n">
        <v>17.6</v>
      </c>
      <c r="R14" s="17" t="inlineStr"/>
      <c r="S14" s="20" t="inlineStr"/>
    </row>
    <row r="15">
      <c r="A15" s="47" t="inlineStr">
        <is>
          <t>01:00</t>
        </is>
      </c>
      <c r="B15" s="20" t="inlineStr">
        <is>
          <t>Reading (lb-in)</t>
        </is>
      </c>
      <c r="C15" s="23" t="n">
        <v>17.6</v>
      </c>
      <c r="D15" s="23" t="n">
        <v>14.3</v>
      </c>
      <c r="E15" s="23" t="n">
        <v>14.1</v>
      </c>
      <c r="F15" s="23" t="n">
        <v>16.7</v>
      </c>
      <c r="G15" s="23" t="n">
        <v>9.800000000000001</v>
      </c>
      <c r="H15" s="48" t="n">
        <v>13.2</v>
      </c>
      <c r="I15" s="23" t="n">
        <v>17.5</v>
      </c>
      <c r="J15" s="23" t="n">
        <v>14.3</v>
      </c>
      <c r="K15" s="23" t="n">
        <v>18.5</v>
      </c>
      <c r="L15" s="23" t="n">
        <v>22.5</v>
      </c>
      <c r="M15" s="48" t="n">
        <v>20</v>
      </c>
      <c r="N15" s="23" t="n">
        <v>16.2</v>
      </c>
      <c r="O15" s="23" t="n">
        <v>28.8</v>
      </c>
      <c r="P15" s="23" t="n">
        <v>20.3</v>
      </c>
      <c r="Q15" s="23" t="n">
        <v>13</v>
      </c>
      <c r="R15" s="17" t="inlineStr"/>
      <c r="S15" s="20">
        <f>COUNT($C15:$Q15)&amp;" numeric"</f>
        <v/>
      </c>
    </row>
    <row r="16">
      <c r="A16" s="47" t="inlineStr"/>
      <c r="B16" s="20" t="inlineStr">
        <is>
          <t>Re-test / Result</t>
        </is>
      </c>
      <c r="C16" s="12" t="inlineStr">
        <is>
          <t>OK</t>
        </is>
      </c>
      <c r="D16" s="12" t="inlineStr">
        <is>
          <t>OK</t>
        </is>
      </c>
      <c r="E16" s="12" t="inlineStr">
        <is>
          <t>OK</t>
        </is>
      </c>
      <c r="F16" s="12" t="inlineStr">
        <is>
          <t>OK</t>
        </is>
      </c>
      <c r="G16" s="12" t="inlineStr">
        <is>
          <t>OK</t>
        </is>
      </c>
      <c r="H16" s="12" t="inlineStr">
        <is>
          <t>OK</t>
        </is>
      </c>
      <c r="I16" s="12" t="inlineStr">
        <is>
          <t>OK</t>
        </is>
      </c>
      <c r="J16" s="12" t="inlineStr">
        <is>
          <t>OK</t>
        </is>
      </c>
      <c r="K16" s="12" t="inlineStr">
        <is>
          <t>OK</t>
        </is>
      </c>
      <c r="L16" s="23" t="n">
        <v>15.1</v>
      </c>
      <c r="M16" s="23" t="n">
        <v>11.5</v>
      </c>
      <c r="N16" s="12" t="inlineStr">
        <is>
          <t>OK</t>
        </is>
      </c>
      <c r="O16" s="23" t="n">
        <v>13</v>
      </c>
      <c r="P16" s="23" t="n">
        <v>14.3</v>
      </c>
      <c r="Q16" s="12" t="inlineStr">
        <is>
          <t>OK</t>
        </is>
      </c>
      <c r="R16" s="17" t="inlineStr"/>
      <c r="S16" s="20" t="inlineStr"/>
    </row>
    <row r="17">
      <c r="A17" s="43" t="inlineStr">
        <is>
          <t>03:00</t>
        </is>
      </c>
      <c r="B17" s="44" t="inlineStr">
        <is>
          <t>Reading (lb-in)</t>
        </is>
      </c>
      <c r="C17" s="45" t="n"/>
      <c r="D17" s="45" t="n"/>
      <c r="E17" s="45" t="n"/>
      <c r="F17" s="45" t="n"/>
      <c r="G17" s="45" t="n"/>
      <c r="H17" s="45" t="n"/>
      <c r="I17" s="45" t="n"/>
      <c r="J17" s="45" t="n"/>
      <c r="K17" s="45" t="n"/>
      <c r="L17" s="45" t="n"/>
      <c r="M17" s="45" t="n"/>
      <c r="N17" s="45" t="n"/>
      <c r="O17" s="45" t="n"/>
      <c r="P17" s="45" t="n"/>
      <c r="Q17" s="45" t="n"/>
      <c r="R17" s="46" t="inlineStr"/>
      <c r="S17" s="44" t="inlineStr">
        <is>
          <t>not recorded</t>
        </is>
      </c>
    </row>
    <row r="18">
      <c r="A18" s="43" t="inlineStr"/>
      <c r="B18" s="44" t="inlineStr">
        <is>
          <t>Re-test / Result</t>
        </is>
      </c>
      <c r="C18" s="45" t="n"/>
      <c r="D18" s="45" t="n"/>
      <c r="E18" s="45" t="n"/>
      <c r="F18" s="45" t="n"/>
      <c r="G18" s="45" t="n"/>
      <c r="H18" s="45" t="n"/>
      <c r="I18" s="45" t="n"/>
      <c r="J18" s="45" t="n"/>
      <c r="K18" s="45" t="n"/>
      <c r="L18" s="45" t="n"/>
      <c r="M18" s="45" t="n"/>
      <c r="N18" s="45" t="n"/>
      <c r="O18" s="45" t="n"/>
      <c r="P18" s="45" t="n"/>
      <c r="Q18" s="45" t="n"/>
      <c r="R18" s="46" t="inlineStr"/>
      <c r="S18" s="44" t="inlineStr"/>
    </row>
    <row r="19">
      <c r="A19" s="43" t="inlineStr">
        <is>
          <t>05:00</t>
        </is>
      </c>
      <c r="B19" s="44" t="inlineStr">
        <is>
          <t>Reading (lb-in)</t>
        </is>
      </c>
      <c r="C19" s="45" t="n"/>
      <c r="D19" s="45" t="n"/>
      <c r="E19" s="45" t="n"/>
      <c r="F19" s="45" t="n"/>
      <c r="G19" s="45" t="n"/>
      <c r="H19" s="45" t="n"/>
      <c r="I19" s="45" t="n"/>
      <c r="J19" s="45" t="n"/>
      <c r="K19" s="45" t="n"/>
      <c r="L19" s="45" t="n"/>
      <c r="M19" s="45" t="n"/>
      <c r="N19" s="45" t="n"/>
      <c r="O19" s="45" t="n"/>
      <c r="P19" s="45" t="n"/>
      <c r="Q19" s="45" t="n"/>
      <c r="R19" s="46" t="inlineStr"/>
      <c r="S19" s="44" t="inlineStr">
        <is>
          <t>not recorded</t>
        </is>
      </c>
    </row>
    <row r="20">
      <c r="A20" s="43" t="inlineStr"/>
      <c r="B20" s="44" t="inlineStr">
        <is>
          <t>Re-test / Result</t>
        </is>
      </c>
      <c r="C20" s="45" t="n"/>
      <c r="D20" s="45" t="n"/>
      <c r="E20" s="45" t="n"/>
      <c r="F20" s="45" t="n"/>
      <c r="G20" s="45" t="n"/>
      <c r="H20" s="45" t="n"/>
      <c r="I20" s="45" t="n"/>
      <c r="J20" s="45" t="n"/>
      <c r="K20" s="45" t="n"/>
      <c r="L20" s="45" t="n"/>
      <c r="M20" s="45" t="n"/>
      <c r="N20" s="45" t="n"/>
      <c r="O20" s="45" t="n"/>
      <c r="P20" s="45" t="n"/>
      <c r="Q20" s="45" t="n"/>
      <c r="R20" s="46" t="inlineStr"/>
      <c r="S20" s="44" t="inlineStr"/>
    </row>
    <row r="21">
      <c r="A21" s="43" t="inlineStr">
        <is>
          <t>07:00</t>
        </is>
      </c>
      <c r="B21" s="44" t="inlineStr">
        <is>
          <t>Reading (lb-in)</t>
        </is>
      </c>
      <c r="C21" s="45" t="n"/>
      <c r="D21" s="45" t="n"/>
      <c r="E21" s="45" t="n"/>
      <c r="F21" s="45" t="n"/>
      <c r="G21" s="45" t="n"/>
      <c r="H21" s="45" t="n"/>
      <c r="I21" s="45" t="n"/>
      <c r="J21" s="45" t="n"/>
      <c r="K21" s="45" t="n"/>
      <c r="L21" s="45" t="n"/>
      <c r="M21" s="45" t="n"/>
      <c r="N21" s="45" t="n"/>
      <c r="O21" s="45" t="n"/>
      <c r="P21" s="45" t="n"/>
      <c r="Q21" s="45" t="n"/>
      <c r="R21" s="46" t="inlineStr"/>
      <c r="S21" s="44" t="inlineStr">
        <is>
          <t>not recorded</t>
        </is>
      </c>
    </row>
    <row r="22">
      <c r="A22" s="43" t="inlineStr"/>
      <c r="B22" s="44" t="inlineStr">
        <is>
          <t>Re-test / Result</t>
        </is>
      </c>
      <c r="C22" s="45" t="n"/>
      <c r="D22" s="45" t="n"/>
      <c r="E22" s="45" t="n"/>
      <c r="F22" s="45" t="n"/>
      <c r="G22" s="45" t="n"/>
      <c r="H22" s="45" t="n"/>
      <c r="I22" s="45" t="n"/>
      <c r="J22" s="45" t="n"/>
      <c r="K22" s="45" t="n"/>
      <c r="L22" s="45" t="n"/>
      <c r="M22" s="45" t="n"/>
      <c r="N22" s="45" t="n"/>
      <c r="O22" s="45" t="n"/>
      <c r="P22" s="45" t="n"/>
      <c r="Q22" s="45" t="n"/>
      <c r="R22" s="46" t="inlineStr"/>
      <c r="S22" s="44" t="inlineStr"/>
    </row>
    <row r="24" ht="18" customHeight="1">
      <c r="A24" s="3" t="inlineStr">
        <is>
          <t>Verification - every cell below is a live formula</t>
        </is>
      </c>
      <c r="B24" s="4" t="n"/>
      <c r="C24" s="4" t="n"/>
      <c r="D24" s="4" t="n"/>
      <c r="E24" s="4" t="n"/>
      <c r="F24" s="4" t="n"/>
      <c r="G24" s="4" t="n"/>
      <c r="H24" s="4" t="n"/>
      <c r="I24" s="4" t="n"/>
      <c r="J24" s="4" t="n"/>
      <c r="K24" s="4" t="n"/>
      <c r="L24" s="4" t="n"/>
      <c r="M24" s="4" t="n"/>
      <c r="N24" s="4" t="n"/>
      <c r="O24" s="4" t="n"/>
      <c r="P24" s="4" t="n"/>
      <c r="Q24" s="4" t="n"/>
      <c r="R24" s="4" t="n"/>
      <c r="S24" s="4" t="n"/>
    </row>
    <row r="25">
      <c r="A25" s="9" t="inlineStr">
        <is>
          <t>TIME</t>
        </is>
      </c>
      <c r="B25" s="9" t="inlineStr">
        <is>
          <t>Check</t>
        </is>
      </c>
      <c r="C25" s="9" t="n">
        <v>1</v>
      </c>
      <c r="D25" s="9" t="n">
        <v>2</v>
      </c>
      <c r="E25" s="9" t="n">
        <v>3</v>
      </c>
      <c r="F25" s="9" t="n">
        <v>4</v>
      </c>
      <c r="G25" s="9" t="n">
        <v>5</v>
      </c>
      <c r="H25" s="9" t="n">
        <v>6</v>
      </c>
      <c r="I25" s="9" t="n">
        <v>7</v>
      </c>
      <c r="J25" s="9" t="n">
        <v>8</v>
      </c>
      <c r="K25" s="9" t="n">
        <v>9</v>
      </c>
      <c r="L25" s="9" t="n">
        <v>10</v>
      </c>
      <c r="M25" s="9" t="n">
        <v>11</v>
      </c>
      <c r="N25" s="9" t="n">
        <v>12</v>
      </c>
      <c r="O25" s="9" t="n">
        <v>13</v>
      </c>
      <c r="P25" s="9" t="n">
        <v>14</v>
      </c>
      <c r="Q25" s="9" t="n">
        <v>15</v>
      </c>
      <c r="R25" s="9" t="inlineStr">
        <is>
          <t>Count</t>
        </is>
      </c>
      <c r="S25" s="9" t="inlineStr"/>
    </row>
    <row r="26">
      <c r="A26" s="50" t="inlineStr">
        <is>
          <t>11:00</t>
        </is>
      </c>
      <c r="B26" s="51" t="inlineStr">
        <is>
          <t>Ringed on the form (as transcribed)</t>
        </is>
      </c>
      <c r="C26" s="30" t="inlineStr"/>
      <c r="D26" s="30" t="inlineStr"/>
      <c r="E26" s="30" t="inlineStr"/>
      <c r="F26" s="30" t="inlineStr">
        <is>
          <t>Y</t>
        </is>
      </c>
      <c r="G26" s="30" t="inlineStr"/>
      <c r="H26" s="30" t="inlineStr">
        <is>
          <t>Y</t>
        </is>
      </c>
      <c r="I26" s="30" t="inlineStr">
        <is>
          <t>Y</t>
        </is>
      </c>
      <c r="J26" s="30" t="inlineStr"/>
      <c r="K26" s="30" t="inlineStr"/>
      <c r="L26" s="30" t="inlineStr">
        <is>
          <t>Y</t>
        </is>
      </c>
      <c r="M26" s="30" t="inlineStr"/>
      <c r="N26" s="30" t="inlineStr"/>
      <c r="O26" s="30" t="inlineStr">
        <is>
          <t>Y</t>
        </is>
      </c>
      <c r="P26" s="30" t="inlineStr">
        <is>
          <t>Y</t>
        </is>
      </c>
      <c r="Q26" s="30" t="inlineStr">
        <is>
          <t>Y</t>
        </is>
      </c>
      <c r="R26" s="50">
        <f>COUNTIF($C26:$Q26,"Y")</f>
        <v/>
      </c>
      <c r="S26" s="51" t="inlineStr">
        <is>
          <t>rejected by the chemist</t>
        </is>
      </c>
    </row>
    <row r="27">
      <c r="A27" s="47" t="inlineStr"/>
      <c r="B27" s="20" t="inlineStr">
        <is>
          <t>Outside band (formula)</t>
        </is>
      </c>
      <c r="C27" s="12">
        <f>IF(NOT(ISNUMBER(C13)),"n/a",IF(OR(C13&lt;SPEC_LOW,C13&gt;SPEC_HIGH),"OUT","in"))</f>
        <v/>
      </c>
      <c r="D27" s="12">
        <f>IF(NOT(ISNUMBER(D13)),"n/a",IF(OR(D13&lt;SPEC_LOW,D13&gt;SPEC_HIGH),"OUT","in"))</f>
        <v/>
      </c>
      <c r="E27" s="12">
        <f>IF(NOT(ISNUMBER(E13)),"n/a",IF(OR(E13&lt;SPEC_LOW,E13&gt;SPEC_HIGH),"OUT","in"))</f>
        <v/>
      </c>
      <c r="F27" s="12">
        <f>IF(NOT(ISNUMBER(F13)),"n/a",IF(OR(F13&lt;SPEC_LOW,F13&gt;SPEC_HIGH),"OUT","in"))</f>
        <v/>
      </c>
      <c r="G27" s="12">
        <f>IF(NOT(ISNUMBER(G13)),"n/a",IF(OR(G13&lt;SPEC_LOW,G13&gt;SPEC_HIGH),"OUT","in"))</f>
        <v/>
      </c>
      <c r="H27" s="12">
        <f>IF(NOT(ISNUMBER(H13)),"n/a",IF(OR(H13&lt;SPEC_LOW,H13&gt;SPEC_HIGH),"OUT","in"))</f>
        <v/>
      </c>
      <c r="I27" s="12">
        <f>IF(NOT(ISNUMBER(I13)),"n/a",IF(OR(I13&lt;SPEC_LOW,I13&gt;SPEC_HIGH),"OUT","in"))</f>
        <v/>
      </c>
      <c r="J27" s="12">
        <f>IF(NOT(ISNUMBER(J13)),"n/a",IF(OR(J13&lt;SPEC_LOW,J13&gt;SPEC_HIGH),"OUT","in"))</f>
        <v/>
      </c>
      <c r="K27" s="12">
        <f>IF(NOT(ISNUMBER(K13)),"n/a",IF(OR(K13&lt;SPEC_LOW,K13&gt;SPEC_HIGH),"OUT","in"))</f>
        <v/>
      </c>
      <c r="L27" s="12">
        <f>IF(NOT(ISNUMBER(L13)),"n/a",IF(OR(L13&lt;SPEC_LOW,L13&gt;SPEC_HIGH),"OUT","in"))</f>
        <v/>
      </c>
      <c r="M27" s="12">
        <f>IF(NOT(ISNUMBER(M13)),"n/a",IF(OR(M13&lt;SPEC_LOW,M13&gt;SPEC_HIGH),"OUT","in"))</f>
        <v/>
      </c>
      <c r="N27" s="12">
        <f>IF(NOT(ISNUMBER(N13)),"n/a",IF(OR(N13&lt;SPEC_LOW,N13&gt;SPEC_HIGH),"OUT","in"))</f>
        <v/>
      </c>
      <c r="O27" s="12">
        <f>IF(NOT(ISNUMBER(O13)),"n/a",IF(OR(O13&lt;SPEC_LOW,O13&gt;SPEC_HIGH),"OUT","in"))</f>
        <v/>
      </c>
      <c r="P27" s="12">
        <f>IF(NOT(ISNUMBER(P13)),"n/a",IF(OR(P13&lt;SPEC_LOW,P13&gt;SPEC_HIGH),"OUT","in"))</f>
        <v/>
      </c>
      <c r="Q27" s="12">
        <f>IF(NOT(ISNUMBER(Q13)),"n/a",IF(OR(Q13&lt;SPEC_LOW,Q13&gt;SPEC_HIGH),"OUT","in"))</f>
        <v/>
      </c>
      <c r="R27" s="47">
        <f>COUNTIF($C27:$Q27,"OUT")</f>
        <v/>
      </c>
      <c r="S27" s="20" t="inlineStr">
        <is>
          <t>flagged by the formula</t>
        </is>
      </c>
    </row>
    <row r="28">
      <c r="A28" s="50" t="inlineStr"/>
      <c r="B28" s="51" t="inlineStr">
        <is>
          <t>Formula agrees with the form?</t>
        </is>
      </c>
      <c r="C28" s="30">
        <f>IF(NOT(ISNUMBER(C13)),"n/a",IF((C26="Y")=OR(C13&lt;SPEC_LOW,C13&gt;SPEC_HIGH),"agrees","MISMATCH"))</f>
        <v/>
      </c>
      <c r="D28" s="30">
        <f>IF(NOT(ISNUMBER(D13)),"n/a",IF((D26="Y")=OR(D13&lt;SPEC_LOW,D13&gt;SPEC_HIGH),"agrees","MISMATCH"))</f>
        <v/>
      </c>
      <c r="E28" s="30">
        <f>IF(NOT(ISNUMBER(E13)),"n/a",IF((E26="Y")=OR(E13&lt;SPEC_LOW,E13&gt;SPEC_HIGH),"agrees","MISMATCH"))</f>
        <v/>
      </c>
      <c r="F28" s="30">
        <f>IF(NOT(ISNUMBER(F13)),"n/a",IF((F26="Y")=OR(F13&lt;SPEC_LOW,F13&gt;SPEC_HIGH),"agrees","MISMATCH"))</f>
        <v/>
      </c>
      <c r="G28" s="30">
        <f>IF(NOT(ISNUMBER(G13)),"n/a",IF((G26="Y")=OR(G13&lt;SPEC_LOW,G13&gt;SPEC_HIGH),"agrees","MISMATCH"))</f>
        <v/>
      </c>
      <c r="H28" s="30">
        <f>IF(NOT(ISNUMBER(H13)),"n/a",IF((H26="Y")=OR(H13&lt;SPEC_LOW,H13&gt;SPEC_HIGH),"agrees","MISMATCH"))</f>
        <v/>
      </c>
      <c r="I28" s="30">
        <f>IF(NOT(ISNUMBER(I13)),"n/a",IF((I26="Y")=OR(I13&lt;SPEC_LOW,I13&gt;SPEC_HIGH),"agrees","MISMATCH"))</f>
        <v/>
      </c>
      <c r="J28" s="30">
        <f>IF(NOT(ISNUMBER(J13)),"n/a",IF((J26="Y")=OR(J13&lt;SPEC_LOW,J13&gt;SPEC_HIGH),"agrees","MISMATCH"))</f>
        <v/>
      </c>
      <c r="K28" s="30">
        <f>IF(NOT(ISNUMBER(K13)),"n/a",IF((K26="Y")=OR(K13&lt;SPEC_LOW,K13&gt;SPEC_HIGH),"agrees","MISMATCH"))</f>
        <v/>
      </c>
      <c r="L28" s="30">
        <f>IF(NOT(ISNUMBER(L13)),"n/a",IF((L26="Y")=OR(L13&lt;SPEC_LOW,L13&gt;SPEC_HIGH),"agrees","MISMATCH"))</f>
        <v/>
      </c>
      <c r="M28" s="30">
        <f>IF(NOT(ISNUMBER(M13)),"n/a",IF((M26="Y")=OR(M13&lt;SPEC_LOW,M13&gt;SPEC_HIGH),"agrees","MISMATCH"))</f>
        <v/>
      </c>
      <c r="N28" s="30">
        <f>IF(NOT(ISNUMBER(N13)),"n/a",IF((N26="Y")=OR(N13&lt;SPEC_LOW,N13&gt;SPEC_HIGH),"agrees","MISMATCH"))</f>
        <v/>
      </c>
      <c r="O28" s="30">
        <f>IF(NOT(ISNUMBER(O13)),"n/a",IF((O26="Y")=OR(O13&lt;SPEC_LOW,O13&gt;SPEC_HIGH),"agrees","MISMATCH"))</f>
        <v/>
      </c>
      <c r="P28" s="30">
        <f>IF(NOT(ISNUMBER(P13)),"n/a",IF((P26="Y")=OR(P13&lt;SPEC_LOW,P13&gt;SPEC_HIGH),"agrees","MISMATCH"))</f>
        <v/>
      </c>
      <c r="Q28" s="30">
        <f>IF(NOT(ISNUMBER(Q13)),"n/a",IF((Q26="Y")=OR(Q13&lt;SPEC_LOW,Q13&gt;SPEC_HIGH),"agrees","MISMATCH"))</f>
        <v/>
      </c>
      <c r="R28" s="50">
        <f>COUNTIF($C28:$Q28,"MISMATCH")</f>
        <v/>
      </c>
      <c r="S28" s="51" t="inlineStr">
        <is>
          <t>must be 0</t>
        </is>
      </c>
    </row>
    <row r="29">
      <c r="A29" s="50" t="inlineStr">
        <is>
          <t>01:00</t>
        </is>
      </c>
      <c r="B29" s="51" t="inlineStr">
        <is>
          <t>Ringed on the form (as transcribed)</t>
        </is>
      </c>
      <c r="C29" s="30" t="inlineStr"/>
      <c r="D29" s="30" t="inlineStr"/>
      <c r="E29" s="30" t="inlineStr"/>
      <c r="F29" s="30" t="inlineStr"/>
      <c r="G29" s="30" t="inlineStr"/>
      <c r="H29" s="30" t="inlineStr"/>
      <c r="I29" s="30" t="inlineStr"/>
      <c r="J29" s="30" t="inlineStr"/>
      <c r="K29" s="30" t="inlineStr"/>
      <c r="L29" s="30" t="inlineStr">
        <is>
          <t>Y</t>
        </is>
      </c>
      <c r="M29" s="30" t="inlineStr">
        <is>
          <t>Y</t>
        </is>
      </c>
      <c r="N29" s="30" t="inlineStr"/>
      <c r="O29" s="30" t="inlineStr">
        <is>
          <t>Y</t>
        </is>
      </c>
      <c r="P29" s="30" t="inlineStr">
        <is>
          <t>Y</t>
        </is>
      </c>
      <c r="Q29" s="30" t="inlineStr"/>
      <c r="R29" s="50">
        <f>COUNTIF($C29:$Q29,"Y")</f>
        <v/>
      </c>
      <c r="S29" s="51" t="inlineStr">
        <is>
          <t>rejected by the chemist</t>
        </is>
      </c>
    </row>
    <row r="30">
      <c r="A30" s="47" t="inlineStr"/>
      <c r="B30" s="20" t="inlineStr">
        <is>
          <t>Outside band (formula)</t>
        </is>
      </c>
      <c r="C30" s="12">
        <f>IF(NOT(ISNUMBER(C15)),"n/a",IF(OR(C15&lt;SPEC_LOW,C15&gt;SPEC_HIGH),"OUT","in"))</f>
        <v/>
      </c>
      <c r="D30" s="12">
        <f>IF(NOT(ISNUMBER(D15)),"n/a",IF(OR(D15&lt;SPEC_LOW,D15&gt;SPEC_HIGH),"OUT","in"))</f>
        <v/>
      </c>
      <c r="E30" s="12">
        <f>IF(NOT(ISNUMBER(E15)),"n/a",IF(OR(E15&lt;SPEC_LOW,E15&gt;SPEC_HIGH),"OUT","in"))</f>
        <v/>
      </c>
      <c r="F30" s="12">
        <f>IF(NOT(ISNUMBER(F15)),"n/a",IF(OR(F15&lt;SPEC_LOW,F15&gt;SPEC_HIGH),"OUT","in"))</f>
        <v/>
      </c>
      <c r="G30" s="12">
        <f>IF(NOT(ISNUMBER(G15)),"n/a",IF(OR(G15&lt;SPEC_LOW,G15&gt;SPEC_HIGH),"OUT","in"))</f>
        <v/>
      </c>
      <c r="H30" s="12">
        <f>IF(NOT(ISNUMBER(H15)),"n/a",IF(OR(H15&lt;SPEC_LOW,H15&gt;SPEC_HIGH),"OUT","in"))</f>
        <v/>
      </c>
      <c r="I30" s="12">
        <f>IF(NOT(ISNUMBER(I15)),"n/a",IF(OR(I15&lt;SPEC_LOW,I15&gt;SPEC_HIGH),"OUT","in"))</f>
        <v/>
      </c>
      <c r="J30" s="12">
        <f>IF(NOT(ISNUMBER(J15)),"n/a",IF(OR(J15&lt;SPEC_LOW,J15&gt;SPEC_HIGH),"OUT","in"))</f>
        <v/>
      </c>
      <c r="K30" s="12">
        <f>IF(NOT(ISNUMBER(K15)),"n/a",IF(OR(K15&lt;SPEC_LOW,K15&gt;SPEC_HIGH),"OUT","in"))</f>
        <v/>
      </c>
      <c r="L30" s="12">
        <f>IF(NOT(ISNUMBER(L15)),"n/a",IF(OR(L15&lt;SPEC_LOW,L15&gt;SPEC_HIGH),"OUT","in"))</f>
        <v/>
      </c>
      <c r="M30" s="12">
        <f>IF(NOT(ISNUMBER(M15)),"n/a",IF(OR(M15&lt;SPEC_LOW,M15&gt;SPEC_HIGH),"OUT","in"))</f>
        <v/>
      </c>
      <c r="N30" s="12">
        <f>IF(NOT(ISNUMBER(N15)),"n/a",IF(OR(N15&lt;SPEC_LOW,N15&gt;SPEC_HIGH),"OUT","in"))</f>
        <v/>
      </c>
      <c r="O30" s="12">
        <f>IF(NOT(ISNUMBER(O15)),"n/a",IF(OR(O15&lt;SPEC_LOW,O15&gt;SPEC_HIGH),"OUT","in"))</f>
        <v/>
      </c>
      <c r="P30" s="12">
        <f>IF(NOT(ISNUMBER(P15)),"n/a",IF(OR(P15&lt;SPEC_LOW,P15&gt;SPEC_HIGH),"OUT","in"))</f>
        <v/>
      </c>
      <c r="Q30" s="12">
        <f>IF(NOT(ISNUMBER(Q15)),"n/a",IF(OR(Q15&lt;SPEC_LOW,Q15&gt;SPEC_HIGH),"OUT","in"))</f>
        <v/>
      </c>
      <c r="R30" s="47">
        <f>COUNTIF($C30:$Q30,"OUT")</f>
        <v/>
      </c>
      <c r="S30" s="20" t="inlineStr">
        <is>
          <t>flagged by the formula</t>
        </is>
      </c>
    </row>
    <row r="31">
      <c r="A31" s="50" t="inlineStr"/>
      <c r="B31" s="51" t="inlineStr">
        <is>
          <t>Formula agrees with the form?</t>
        </is>
      </c>
      <c r="C31" s="30">
        <f>IF(NOT(ISNUMBER(C15)),"n/a",IF((C29="Y")=OR(C15&lt;SPEC_LOW,C15&gt;SPEC_HIGH),"agrees","MISMATCH"))</f>
        <v/>
      </c>
      <c r="D31" s="30">
        <f>IF(NOT(ISNUMBER(D15)),"n/a",IF((D29="Y")=OR(D15&lt;SPEC_LOW,D15&gt;SPEC_HIGH),"agrees","MISMATCH"))</f>
        <v/>
      </c>
      <c r="E31" s="30">
        <f>IF(NOT(ISNUMBER(E15)),"n/a",IF((E29="Y")=OR(E15&lt;SPEC_LOW,E15&gt;SPEC_HIGH),"agrees","MISMATCH"))</f>
        <v/>
      </c>
      <c r="F31" s="30">
        <f>IF(NOT(ISNUMBER(F15)),"n/a",IF((F29="Y")=OR(F15&lt;SPEC_LOW,F15&gt;SPEC_HIGH),"agrees","MISMATCH"))</f>
        <v/>
      </c>
      <c r="G31" s="30">
        <f>IF(NOT(ISNUMBER(G15)),"n/a",IF((G29="Y")=OR(G15&lt;SPEC_LOW,G15&gt;SPEC_HIGH),"agrees","MISMATCH"))</f>
        <v/>
      </c>
      <c r="H31" s="30">
        <f>IF(NOT(ISNUMBER(H15)),"n/a",IF((H29="Y")=OR(H15&lt;SPEC_LOW,H15&gt;SPEC_HIGH),"agrees","MISMATCH"))</f>
        <v/>
      </c>
      <c r="I31" s="30">
        <f>IF(NOT(ISNUMBER(I15)),"n/a",IF((I29="Y")=OR(I15&lt;SPEC_LOW,I15&gt;SPEC_HIGH),"agrees","MISMATCH"))</f>
        <v/>
      </c>
      <c r="J31" s="30">
        <f>IF(NOT(ISNUMBER(J15)),"n/a",IF((J29="Y")=OR(J15&lt;SPEC_LOW,J15&gt;SPEC_HIGH),"agrees","MISMATCH"))</f>
        <v/>
      </c>
      <c r="K31" s="30">
        <f>IF(NOT(ISNUMBER(K15)),"n/a",IF((K29="Y")=OR(K15&lt;SPEC_LOW,K15&gt;SPEC_HIGH),"agrees","MISMATCH"))</f>
        <v/>
      </c>
      <c r="L31" s="30">
        <f>IF(NOT(ISNUMBER(L15)),"n/a",IF((L29="Y")=OR(L15&lt;SPEC_LOW,L15&gt;SPEC_HIGH),"agrees","MISMATCH"))</f>
        <v/>
      </c>
      <c r="M31" s="30">
        <f>IF(NOT(ISNUMBER(M15)),"n/a",IF((M29="Y")=OR(M15&lt;SPEC_LOW,M15&gt;SPEC_HIGH),"agrees","MISMATCH"))</f>
        <v/>
      </c>
      <c r="N31" s="30">
        <f>IF(NOT(ISNUMBER(N15)),"n/a",IF((N29="Y")=OR(N15&lt;SPEC_LOW,N15&gt;SPEC_HIGH),"agrees","MISMATCH"))</f>
        <v/>
      </c>
      <c r="O31" s="30">
        <f>IF(NOT(ISNUMBER(O15)),"n/a",IF((O29="Y")=OR(O15&lt;SPEC_LOW,O15&gt;SPEC_HIGH),"agrees","MISMATCH"))</f>
        <v/>
      </c>
      <c r="P31" s="30">
        <f>IF(NOT(ISNUMBER(P15)),"n/a",IF((P29="Y")=OR(P15&lt;SPEC_LOW,P15&gt;SPEC_HIGH),"agrees","MISMATCH"))</f>
        <v/>
      </c>
      <c r="Q31" s="30">
        <f>IF(NOT(ISNUMBER(Q15)),"n/a",IF((Q29="Y")=OR(Q15&lt;SPEC_LOW,Q15&gt;SPEC_HIGH),"agrees","MISMATCH"))</f>
        <v/>
      </c>
      <c r="R31" s="50">
        <f>COUNTIF($C31:$Q31,"MISMATCH")</f>
        <v/>
      </c>
      <c r="S31" s="51" t="inlineStr">
        <is>
          <t>must be 0</t>
        </is>
      </c>
    </row>
    <row r="33" ht="18" customHeight="1">
      <c r="A33" s="3" t="inlineStr">
        <is>
          <t>Statistics per test round - live formulas</t>
        </is>
      </c>
      <c r="B33" s="4" t="n"/>
      <c r="C33" s="4" t="n"/>
      <c r="D33" s="4" t="n"/>
      <c r="E33" s="4" t="n"/>
      <c r="F33" s="4" t="n"/>
      <c r="G33" s="4" t="n"/>
      <c r="H33" s="4" t="n"/>
    </row>
    <row r="34">
      <c r="A34" s="9" t="inlineStr">
        <is>
          <t>Test round</t>
        </is>
      </c>
      <c r="B34" s="9" t="inlineStr">
        <is>
          <t>Numeric readings</t>
        </is>
      </c>
      <c r="C34" s="9" t="inlineStr">
        <is>
          <t>Minimum</t>
        </is>
      </c>
      <c r="D34" s="9" t="inlineStr">
        <is>
          <t>Maximum</t>
        </is>
      </c>
      <c r="E34" s="9" t="inlineStr">
        <is>
          <t>Average</t>
        </is>
      </c>
      <c r="F34" s="9" t="inlineStr">
        <is>
          <t>Rejected (ringed)</t>
        </is>
      </c>
      <c r="G34" s="9" t="inlineStr">
        <is>
          <t>Re-tests written</t>
        </is>
      </c>
      <c r="H34" s="9" t="inlineStr">
        <is>
          <t>Re-tests inside band</t>
        </is>
      </c>
    </row>
    <row r="35">
      <c r="A35" s="35" t="inlineStr">
        <is>
          <t>11:00</t>
        </is>
      </c>
      <c r="B35" s="35">
        <f>COUNT($C13:$Q13)</f>
        <v/>
      </c>
      <c r="C35" s="7">
        <f>MIN($C13:$Q13)</f>
        <v/>
      </c>
      <c r="D35" s="7">
        <f>MAX($C13:$Q13)</f>
        <v/>
      </c>
      <c r="E35" s="52">
        <f>AVERAGE($C13:$Q13)</f>
        <v/>
      </c>
      <c r="F35" s="35">
        <f>COUNTIF($C26:$Q26,"Y")</f>
        <v/>
      </c>
      <c r="G35" s="35">
        <f>COUNT($C14:$Q14)</f>
        <v/>
      </c>
      <c r="H35" s="35">
        <f>SUMPRODUCT(($C14:$Q14&lt;&gt;"")*(ISNUMBER($C14:$Q14))*($C14:$Q14&gt;=SPEC_LOW)*($C14:$Q14&lt;=SPEC_HIGH))</f>
        <v/>
      </c>
    </row>
    <row r="36">
      <c r="A36" s="35" t="inlineStr">
        <is>
          <t>01:00</t>
        </is>
      </c>
      <c r="B36" s="35">
        <f>COUNT($C15:$Q15)</f>
        <v/>
      </c>
      <c r="C36" s="7">
        <f>MIN($C15:$Q15)</f>
        <v/>
      </c>
      <c r="D36" s="7">
        <f>MAX($C15:$Q15)</f>
        <v/>
      </c>
      <c r="E36" s="52">
        <f>AVERAGE($C15:$Q15)</f>
        <v/>
      </c>
      <c r="F36" s="35">
        <f>COUNTIF($C29:$Q29,"Y")</f>
        <v/>
      </c>
      <c r="G36" s="35">
        <f>COUNT($C16:$Q16)</f>
        <v/>
      </c>
      <c r="H36" s="35">
        <f>SUMPRODUCT(($C16:$Q16&lt;&gt;"")*(ISNUMBER($C16:$Q16))*($C16:$Q16&gt;=SPEC_LOW)*($C16:$Q16&lt;=SPEC_HIGH))</f>
        <v/>
      </c>
    </row>
    <row r="37">
      <c r="A37" s="35" t="inlineStr">
        <is>
          <t>TOTAL</t>
        </is>
      </c>
      <c r="B37" s="35">
        <f>SUM(B35,B36)</f>
        <v/>
      </c>
      <c r="C37" s="7">
        <f>MIN(C35,C36)</f>
        <v/>
      </c>
      <c r="D37" s="7">
        <f>MAX(D35,D36)</f>
        <v/>
      </c>
      <c r="E37" s="52">
        <f>AVERAGE($C13:$Q13,$C15:$Q15)</f>
        <v/>
      </c>
      <c r="F37" s="35">
        <f>SUM(F35,F36)</f>
        <v/>
      </c>
      <c r="G37" s="35">
        <f>SUM(G35,G36)</f>
        <v/>
      </c>
      <c r="H37" s="35">
        <f>SUM(H35,H36)</f>
        <v/>
      </c>
    </row>
    <row r="39" ht="18" customHeight="1">
      <c r="A39" s="3" t="inlineStr">
        <is>
          <t>Notes on this sheet</t>
        </is>
      </c>
      <c r="B39" s="4" t="n"/>
      <c r="C39" s="4" t="n"/>
      <c r="D39" s="4" t="n"/>
      <c r="E39" s="4" t="n"/>
      <c r="F39" s="4" t="n"/>
      <c r="G39" s="4" t="n"/>
      <c r="H39" s="4" t="n"/>
      <c r="I39" s="4" t="n"/>
      <c r="J39" s="4" t="n"/>
      <c r="K39" s="4" t="n"/>
      <c r="L39" s="4" t="n"/>
      <c r="M39" s="4" t="n"/>
      <c r="N39" s="4" t="n"/>
      <c r="O39" s="4" t="n"/>
      <c r="P39" s="4" t="n"/>
      <c r="Q39" s="4" t="n"/>
      <c r="R39" s="4" t="n"/>
      <c r="S39" s="4" t="n"/>
    </row>
    <row r="40" ht="26" customHeight="1">
      <c r="A40" s="8" t="inlineStr">
        <is>
          <t>•  The paper form prints six test rounds (09:00, 11:00, 01:00, 03:00, 05:00, 07:00). Only 11:00 and 01:00 were filled in; the greyed rounds were left blank and are reproduced empty rather than dropped.</t>
        </is>
      </c>
    </row>
    <row r="41" ht="26" customHeight="1">
      <c r="A41" s="8" t="inlineStr">
        <is>
          <t>•  A reading the chemist ringed on the form was rejected, and the re-test he then wrote underneath appears on the 'Re-test / Result' line. 'OK' on that line means the first reading was accepted.</t>
        </is>
      </c>
    </row>
    <row r="42" ht="26" customHeight="1">
      <c r="A42" s="8" t="inlineStr">
        <is>
          <t>•  The form prints no acceptance limits. The band on the Index sheet is the one consistent with every ringing decision made across both sheets - see that sheet for how it was derived. Change the two cells and every check here re-derives.</t>
        </is>
      </c>
    </row>
    <row r="43" ht="26" customHeight="1">
      <c r="A43" s="8" t="inlineStr">
        <is>
          <t>•  'Formula agrees with the form?' compares the band test against the chemist's own ringing for each head. Any MISMATCH means a digit was probably misread - the count must be 0.</t>
        </is>
      </c>
    </row>
    <row r="44" ht="26" customHeight="1">
      <c r="A44" s="8" t="inlineStr">
        <is>
          <t>•  Cells carrying a red figure have a comment attached explaining the ambiguity.</t>
        </is>
      </c>
    </row>
    <row r="45" ht="26" customHeight="1">
      <c r="A45" s="8" t="inlineStr">
        <is>
          <t>•  FLAGGED - 01:00, capper head 6: AMBIGUOUS DIGIT - read as 13.2. The final digit is written cursively and could be 6 (13.6). Both readings are inside the acceptance band, so the 'OK' result is unaffected.</t>
        </is>
      </c>
    </row>
    <row r="46" ht="26" customHeight="1">
      <c r="A46" s="8" t="inlineStr">
        <is>
          <t>•  FLAGGED - 01:00, capper head 11: AMBIGUOUS DIGITS - read as 20.0. The last character is heavily over-written and could also be 20.6. It is ringed as rejected either way, and the re-test (11.5) is recorded, so the outcome is unaffected. Verify against the original.</t>
        </is>
      </c>
    </row>
    <row r="47" ht="26" customHeight="1">
      <c r="A47" s="8" t="inlineStr">
        <is>
          <t>•  FLAGGED - 11:00, capper head 6: SOURCE GAP - 7.9 lb-in is ringed as rejected, but unlike every other ringed reading on either sheet no re-test value was written underneath. The form leaves this head's outcome unrecorded.</t>
        </is>
      </c>
    </row>
    <row r="48" ht="26" customHeight="1">
      <c r="A48" s="8" t="inlineStr">
        <is>
          <t>•  FLAGGED - 11:00, capper head 7: NON-NUMERIC ENTRY - the chemist wrote 'No open' (the cap would not release), with 'open' written above the cell. A re-test of 16.6 lb-in was recorded.</t>
        </is>
      </c>
    </row>
  </sheetData>
  <mergeCells count="17">
    <mergeCell ref="A42:S42"/>
    <mergeCell ref="A43:S43"/>
    <mergeCell ref="A41:S41"/>
    <mergeCell ref="A47:S47"/>
    <mergeCell ref="A45:S45"/>
    <mergeCell ref="A46:S46"/>
    <mergeCell ref="A8:S8"/>
    <mergeCell ref="A44:S44"/>
    <mergeCell ref="A1:S1"/>
    <mergeCell ref="A40:S40"/>
    <mergeCell ref="A3:S3"/>
    <mergeCell ref="A33:H33"/>
    <mergeCell ref="A39:S39"/>
    <mergeCell ref="A48:S48"/>
    <mergeCell ref="C9:Q9"/>
    <mergeCell ref="A24:S24"/>
    <mergeCell ref="A2:S2"/>
  </mergeCells>
  <conditionalFormatting sqref="C28:Q28">
    <cfRule type="cellIs" priority="1" operator="equal" dxfId="1">
      <formula>"MISMATCH"</formula>
    </cfRule>
  </conditionalFormatting>
  <conditionalFormatting sqref="C27:Q27">
    <cfRule type="cellIs" priority="2" operator="equal" dxfId="2">
      <formula>"OUT"</formula>
    </cfRule>
  </conditionalFormatting>
  <conditionalFormatting sqref="C31:Q31">
    <cfRule type="cellIs" priority="3" operator="equal" dxfId="1">
      <formula>"MISMATCH"</formula>
    </cfRule>
  </conditionalFormatting>
  <conditionalFormatting sqref="C30:Q30">
    <cfRule type="cellIs" priority="4" operator="equal" dxfId="2">
      <formula>"OUT"</formula>
    </cfRule>
  </conditionalFormatting>
  <printOptions horizontalCentered="1"/>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2026-08-21T11:34:24Z</dcterms:created>
  <dcterms:modified xsi:type="dcterms:W3CDTF">2026-08-21T11:34:24Z</dcterms:modified>
</cp:coreProperties>
</file>